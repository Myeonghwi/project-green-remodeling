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/>
  </bookViews>
  <sheets>
    <sheet name="Calibration_Model" sheetId="1" r:id="rId1"/>
    <sheet name="Main Simulator" sheetId="153" r:id="rId2"/>
    <sheet name="Result" sheetId="164" r:id="rId3"/>
    <sheet name="INFO_DNA" sheetId="162" r:id="rId4"/>
    <sheet name="Calibration_Engine" sheetId="3" r:id="rId5"/>
    <sheet name="Variables" sheetId="2" r:id="rId6"/>
    <sheet name="Replacement_Module" sheetId="163" r:id="rId7"/>
    <sheet name="Insulation_Spec." sheetId="156" r:id="rId8"/>
    <sheet name="Windows_Spec." sheetId="157" r:id="rId9"/>
    <sheet name="Lighthing_Spec." sheetId="158" r:id="rId10"/>
  </sheets>
  <functionGroups builtInGroupCount="18"/>
  <definedNames>
    <definedName name="ConditionSet">Calibration_Engine!$C$3:$C$10</definedName>
    <definedName name="ElecConsumption">Calibration_Model!$D$17:$O$17</definedName>
    <definedName name="GasConsumption">Calibration_Model!$D$18:$O$18</definedName>
    <definedName name="InputSet">Calibration_Engine!$B$3:$B$10</definedName>
    <definedName name="InsulationTn">Insulation_Spec.!$H$3:$H$32</definedName>
    <definedName name="InsulationType">Insulation_Spec.!$B$2</definedName>
    <definedName name="Repla_Calibration">Replacement_Module!$A$1</definedName>
    <definedName name="Repla_Insulation">Replacement_Module!$A$8</definedName>
    <definedName name="Repla_Window">Replacement_Module!$A$15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8" i="1" l="1"/>
  <c r="D47" i="1"/>
  <c r="D46" i="1"/>
  <c r="C3" i="3" l="1"/>
  <c r="C4" i="3"/>
  <c r="C5" i="3"/>
  <c r="U4" i="1" l="1"/>
  <c r="U3" i="1"/>
  <c r="V4" i="1"/>
  <c r="Z3" i="1" l="1"/>
  <c r="Y3" i="1"/>
  <c r="W4" i="1" l="1"/>
  <c r="X4" i="1"/>
  <c r="Y4" i="1"/>
  <c r="Z4" i="1"/>
  <c r="AA4" i="1"/>
  <c r="AB4" i="1"/>
  <c r="AC4" i="1"/>
  <c r="AD4" i="1"/>
  <c r="AE4" i="1"/>
  <c r="AF4" i="1"/>
  <c r="AF3" i="1"/>
  <c r="AE3" i="1"/>
  <c r="AD3" i="1"/>
  <c r="AC3" i="1"/>
  <c r="AB3" i="1"/>
  <c r="AA3" i="1"/>
  <c r="X3" i="1"/>
  <c r="W3" i="1"/>
  <c r="V3" i="1"/>
  <c r="U7" i="1" l="1"/>
  <c r="U10" i="1" s="1"/>
  <c r="U8" i="1"/>
  <c r="U11" i="1" s="1"/>
  <c r="D20" i="1" s="1"/>
  <c r="H20" i="3" s="1"/>
  <c r="D19" i="1" l="1"/>
  <c r="U13" i="1"/>
  <c r="U14" i="1"/>
  <c r="H19" i="3" l="1"/>
  <c r="H18" i="3"/>
</calcChain>
</file>

<file path=xl/sharedStrings.xml><?xml version="1.0" encoding="utf-8"?>
<sst xmlns="http://schemas.openxmlformats.org/spreadsheetml/2006/main" count="852" uniqueCount="473">
  <si>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</si>
  <si>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</si>
  <si>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</si>
  <si>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</si>
  <si>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</si>
  <si>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</si>
  <si>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</si>
  <si>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</si>
  <si>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</si>
  <si>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</si>
  <si>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</si>
  <si>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</si>
  <si>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</si>
  <si>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</si>
  <si>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</si>
  <si>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</si>
  <si>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</si>
  <si>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</si>
  <si>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</si>
  <si>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</si>
  <si>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</si>
  <si>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</si>
  <si>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</si>
  <si>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</si>
  <si>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</si>
  <si>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</si>
  <si>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</si>
  <si>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</si>
  <si>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</si>
  <si>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</si>
  <si>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</si>
  <si>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</si>
  <si>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</si>
  <si>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</si>
  <si>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</si>
  <si>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</si>
  <si>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</si>
  <si>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</si>
  <si>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</si>
  <si>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</si>
  <si>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</si>
  <si>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</si>
  <si>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</si>
  <si>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</si>
  <si>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</si>
  <si>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</si>
  <si>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</si>
  <si>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</si>
  <si>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</si>
  <si>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</si>
  <si>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</si>
  <si>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</si>
  <si>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</si>
  <si>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</si>
  <si>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</si>
  <si>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</si>
  <si>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</si>
  <si>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</si>
  <si>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</si>
  <si>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</si>
  <si>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</si>
  <si>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</si>
  <si>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</si>
  <si>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</si>
  <si>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</si>
  <si>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</si>
  <si>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</si>
  <si>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</si>
  <si>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</si>
  <si>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</si>
  <si>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</si>
  <si>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</si>
  <si>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</si>
  <si>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</si>
  <si>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</si>
  <si>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</si>
  <si>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</si>
  <si>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</si>
  <si>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</si>
  <si>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</si>
  <si>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</si>
  <si>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</si>
  <si>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</si>
  <si>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</si>
  <si>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</si>
  <si>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</si>
  <si>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</si>
  <si>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</si>
  <si>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</si>
  <si>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</si>
  <si>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</si>
  <si>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</si>
  <si>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</si>
  <si>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</si>
  <si>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</si>
  <si>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</si>
  <si>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</si>
  <si>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</si>
  <si>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</si>
  <si>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</si>
  <si>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</si>
  <si>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</si>
  <si>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</si>
  <si>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</si>
  <si>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</si>
  <si>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</si>
  <si>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</si>
  <si>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</si>
  <si>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</si>
  <si>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</si>
  <si>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</si>
  <si>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</si>
  <si>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</si>
  <si>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</si>
  <si>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</si>
  <si>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</si>
  <si>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</si>
  <si>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</si>
  <si>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</si>
  <si>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</si>
  <si>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</si>
  <si>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</si>
  <si>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</si>
  <si>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</si>
  <si>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</si>
  <si>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</si>
  <si>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</si>
  <si>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</si>
  <si>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</si>
  <si>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</si>
  <si>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</si>
  <si>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</si>
  <si>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</si>
  <si>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</si>
  <si>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</si>
  <si>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</si>
  <si>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</si>
  <si>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</si>
  <si>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</si>
  <si>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</si>
  <si>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</si>
  <si>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</si>
  <si>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(1)  중부지역 (Seoul)</t>
  </si>
  <si>
    <t>(2)  남동향 (Southeastward): 45°</t>
  </si>
  <si>
    <t>(1)  최하층 중간세대 (Lowest floor/Inside households)</t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</si>
  <si>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</si>
  <si>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</si>
  <si>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</si>
  <si>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</si>
  <si>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</si>
  <si>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</si>
  <si>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</si>
  <si>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</si>
  <si>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</si>
  <si>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</si>
  <si>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</si>
  <si>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</si>
  <si>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</si>
  <si>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</si>
  <si>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</si>
  <si>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</si>
  <si>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</si>
  <si>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</si>
  <si>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</si>
  <si>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</si>
  <si>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</si>
  <si>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</si>
  <si>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창호</t>
    <phoneticPr fontId="1" type="noConversion"/>
  </si>
  <si>
    <t>단열</t>
    <phoneticPr fontId="1" type="noConversion"/>
  </si>
  <si>
    <t>조명</t>
    <phoneticPr fontId="1" type="noConversion"/>
  </si>
  <si>
    <t>신재생에너지</t>
    <phoneticPr fontId="1" type="noConversion"/>
  </si>
  <si>
    <t>예측</t>
    <phoneticPr fontId="1" type="noConversion"/>
  </si>
  <si>
    <t>연간 전기에너지사용량</t>
    <phoneticPr fontId="1" type="noConversion"/>
  </si>
  <si>
    <t>연간 가스에너지사용량</t>
    <phoneticPr fontId="1" type="noConversion"/>
  </si>
  <si>
    <t>아이템리스트</t>
    <phoneticPr fontId="1" type="noConversion"/>
  </si>
  <si>
    <t>Title</t>
    <phoneticPr fontId="1" type="noConversion"/>
  </si>
  <si>
    <t>분석</t>
    <phoneticPr fontId="1" type="noConversion"/>
  </si>
  <si>
    <t>그래프</t>
    <phoneticPr fontId="1" type="noConversion"/>
  </si>
  <si>
    <t>Score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</si>
  <si>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</si>
  <si>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</si>
  <si>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</si>
  <si>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</si>
  <si>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</si>
  <si>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구분</t>
    <phoneticPr fontId="1" type="noConversion"/>
  </si>
  <si>
    <t>압출법보온판</t>
    <phoneticPr fontId="1" type="noConversion"/>
  </si>
  <si>
    <t>비드법 보온판 1종</t>
    <phoneticPr fontId="1" type="noConversion"/>
  </si>
  <si>
    <t>비드법 보온판 2종</t>
    <phoneticPr fontId="1" type="noConversion"/>
  </si>
  <si>
    <t>경질우레텐폼 보온판 1종</t>
    <phoneticPr fontId="1" type="noConversion"/>
  </si>
  <si>
    <t>경질우레텐폼 보온판 2종</t>
    <phoneticPr fontId="1" type="noConversion"/>
  </si>
  <si>
    <t>미네랄 보온판</t>
    <phoneticPr fontId="1" type="noConversion"/>
  </si>
  <si>
    <t>글라스울 보온판</t>
    <phoneticPr fontId="1" type="noConversion"/>
  </si>
  <si>
    <t>근거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</si>
  <si>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</si>
  <si>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</si>
  <si>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</si>
  <si>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</si>
  <si>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</si>
  <si>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</si>
  <si>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</si>
  <si>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</si>
  <si>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열용량(J/kg/k)</t>
    <phoneticPr fontId="1" type="noConversion"/>
  </si>
  <si>
    <t>1호</t>
    <phoneticPr fontId="1" type="noConversion"/>
  </si>
  <si>
    <t>2호</t>
    <phoneticPr fontId="1" type="noConversion"/>
  </si>
  <si>
    <t>3호</t>
    <phoneticPr fontId="1" type="noConversion"/>
  </si>
  <si>
    <t>4호</t>
    <phoneticPr fontId="1" type="noConversion"/>
  </si>
  <si>
    <t>"나" 형</t>
    <phoneticPr fontId="1" type="noConversion"/>
  </si>
  <si>
    <t>"다" 형</t>
    <phoneticPr fontId="1" type="noConversion"/>
  </si>
  <si>
    <t>1호</t>
    <phoneticPr fontId="1" type="noConversion"/>
  </si>
  <si>
    <t>2호</t>
    <phoneticPr fontId="1" type="noConversion"/>
  </si>
  <si>
    <t>4호</t>
    <phoneticPr fontId="1" type="noConversion"/>
  </si>
  <si>
    <t>3호</t>
    <phoneticPr fontId="1" type="noConversion"/>
  </si>
  <si>
    <t>2호</t>
    <phoneticPr fontId="1" type="noConversion"/>
  </si>
  <si>
    <t>3호</t>
    <phoneticPr fontId="1" type="noConversion"/>
  </si>
  <si>
    <t>펠트</t>
    <phoneticPr fontId="1" type="noConversion"/>
  </si>
  <si>
    <t>2호</t>
    <phoneticPr fontId="1" type="noConversion"/>
  </si>
  <si>
    <t>120K</t>
    <phoneticPr fontId="1" type="noConversion"/>
  </si>
  <si>
    <t>96K</t>
    <phoneticPr fontId="1" type="noConversion"/>
  </si>
  <si>
    <t>80K</t>
    <phoneticPr fontId="1" type="noConversion"/>
  </si>
  <si>
    <t>64K</t>
    <phoneticPr fontId="1" type="noConversion"/>
  </si>
  <si>
    <t>48K</t>
    <phoneticPr fontId="1" type="noConversion"/>
  </si>
  <si>
    <t>40K</t>
    <phoneticPr fontId="1" type="noConversion"/>
  </si>
  <si>
    <t>32K</t>
    <phoneticPr fontId="1" type="noConversion"/>
  </si>
  <si>
    <t>24K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</si>
  <si>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</si>
  <si>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</si>
  <si>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</si>
  <si>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특호</t>
    <phoneticPr fontId="1" type="noConversion"/>
  </si>
  <si>
    <t>KS M 3808:2011</t>
  </si>
  <si>
    <t>40~70</t>
  </si>
  <si>
    <t>71~100</t>
  </si>
  <si>
    <t>101~160</t>
  </si>
  <si>
    <t>161~300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</si>
  <si>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</si>
  <si>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</si>
  <si>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</si>
  <si>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</si>
  <si>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</si>
  <si>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</si>
  <si>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</si>
  <si>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</si>
  <si>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</si>
  <si>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</si>
  <si>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</si>
  <si>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</si>
  <si>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</si>
  <si>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</si>
  <si>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</si>
  <si>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</si>
  <si>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</si>
  <si>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</si>
  <si>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</si>
  <si>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</si>
  <si>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</si>
  <si>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</si>
  <si>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</si>
  <si>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</si>
  <si>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</si>
  <si>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</si>
  <si>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</si>
  <si>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</si>
  <si>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</si>
  <si>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</si>
  <si>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</si>
  <si>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</si>
  <si>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</si>
  <si>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</si>
  <si>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</si>
  <si>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</si>
  <si>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</si>
  <si>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</si>
  <si>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</si>
  <si>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</si>
  <si>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</si>
  <si>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</si>
  <si>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</si>
  <si>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</si>
  <si>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</si>
  <si>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</si>
  <si>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</si>
  <si>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</si>
  <si>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</si>
  <si>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</si>
  <si>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</si>
  <si>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</si>
  <si>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</si>
  <si>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</si>
  <si>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</si>
  <si>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</si>
  <si>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</si>
  <si>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</si>
  <si>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</si>
  <si>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</si>
  <si>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</si>
  <si>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</si>
  <si>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</si>
  <si>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</si>
  <si>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</si>
  <si>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</si>
  <si>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</si>
  <si>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</si>
  <si>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</si>
  <si>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</si>
  <si>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</si>
  <si>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</si>
  <si>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</si>
  <si>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</si>
  <si>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</si>
  <si>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</si>
  <si>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</si>
  <si>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</si>
  <si>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</si>
  <si>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</si>
  <si>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</si>
  <si>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</si>
  <si>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</si>
  <si>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</si>
  <si>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</si>
  <si>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</si>
  <si>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</si>
  <si>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</si>
  <si>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</si>
  <si>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</si>
  <si>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</si>
  <si>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</si>
  <si>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</si>
  <si>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</si>
  <si>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</si>
  <si>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</si>
  <si>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</si>
  <si>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</si>
  <si>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</si>
  <si>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</si>
  <si>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</si>
  <si>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</si>
  <si>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</si>
  <si>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</si>
  <si>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</si>
  <si>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</si>
  <si>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</si>
  <si>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</si>
  <si>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</si>
  <si>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</si>
  <si>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</si>
  <si>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</si>
  <si>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</si>
  <si>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</si>
  <si>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</si>
  <si>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</si>
  <si>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</si>
  <si>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</si>
  <si>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</si>
  <si>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</si>
  <si>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</si>
  <si>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</si>
  <si>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</si>
  <si>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</si>
  <si>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</si>
  <si>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</si>
  <si>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</si>
  <si>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</si>
  <si>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</si>
  <si>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</si>
  <si>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</si>
  <si>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</si>
  <si>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</si>
  <si>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</si>
  <si>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</si>
  <si>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</si>
  <si>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</si>
  <si>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</si>
  <si>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</si>
  <si>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</si>
  <si>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</si>
  <si>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SHGC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</si>
  <si>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</si>
  <si>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</si>
  <si>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</si>
  <si>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</si>
  <si>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</si>
  <si>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압출법보온판 (특호)</t>
    <phoneticPr fontId="1" type="noConversion"/>
  </si>
  <si>
    <t>압출법보온판 (1호)</t>
    <phoneticPr fontId="1" type="noConversion"/>
  </si>
  <si>
    <t>압출법보온판 (2호)</t>
    <phoneticPr fontId="1" type="noConversion"/>
  </si>
  <si>
    <t>압출법보온판 (3호)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</si>
  <si>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</si>
  <si>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</si>
  <si>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</si>
  <si>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</si>
  <si>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</si>
  <si>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</si>
  <si>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</si>
  <si>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</si>
  <si>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</si>
  <si>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</si>
  <si>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</si>
  <si>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</si>
  <si>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</si>
  <si>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</si>
  <si>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</si>
  <si>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</si>
  <si>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</si>
  <si>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</si>
  <si>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</si>
  <si>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</si>
  <si>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</si>
  <si>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</si>
  <si>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</si>
  <si>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</si>
  <si>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</si>
  <si>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</si>
  <si>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두께(mm)</t>
    <phoneticPr fontId="1" type="noConversion"/>
  </si>
  <si>
    <t>CV(RMSE) Calibration Default Variable</t>
    <phoneticPr fontId="1" type="noConversion"/>
  </si>
  <si>
    <t>변수 명</t>
    <phoneticPr fontId="1" type="noConversion"/>
  </si>
  <si>
    <t>Lighthing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</si>
  <si>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</si>
  <si>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</si>
  <si>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</si>
  <si>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</si>
  <si>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</si>
  <si>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</si>
  <si>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</si>
  <si>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</si>
  <si>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</si>
  <si>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</si>
  <si>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</si>
  <si>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</si>
  <si>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</si>
  <si>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</si>
  <si>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</si>
  <si>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Thickness (mm)</t>
    <phoneticPr fontId="1" type="noConversion"/>
  </si>
  <si>
    <t>Conductivity (W/m*K)</t>
    <phoneticPr fontId="1" type="noConversion"/>
  </si>
  <si>
    <t>Density (kg/m3)</t>
    <phoneticPr fontId="1" type="noConversion"/>
  </si>
  <si>
    <t>Specific Heat (J/kg*K)</t>
    <phoneticPr fontId="1" type="noConversion"/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</si>
  <si>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</si>
  <si>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</si>
  <si>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</si>
  <si>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Equipment (W)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</si>
  <si>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</si>
  <si>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</si>
  <si>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</si>
  <si>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</si>
  <si>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</si>
  <si>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</si>
  <si>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</si>
  <si>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</si>
  <si>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</si>
  <si>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Simulation Default Variable (Window)</t>
    <phoneticPr fontId="1" type="noConversion"/>
  </si>
  <si>
    <t>var1_9</t>
    <phoneticPr fontId="1" type="noConversion"/>
  </si>
  <si>
    <t>var1_10</t>
    <phoneticPr fontId="1" type="noConversion"/>
  </si>
  <si>
    <t>var1_11</t>
    <phoneticPr fontId="1" type="noConversion"/>
  </si>
  <si>
    <t>var1_12</t>
    <phoneticPr fontId="1" type="noConversion"/>
  </si>
  <si>
    <t>Set</t>
    <phoneticPr fontId="1" type="noConversion"/>
  </si>
  <si>
    <t>Score</t>
    <phoneticPr fontId="1" type="noConversion"/>
  </si>
  <si>
    <t>변수설정</t>
    <phoneticPr fontId="3" type="noConversion"/>
  </si>
  <si>
    <t>건축물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</si>
  <si>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</si>
  <si>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</si>
  <si>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</si>
  <si>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</si>
  <si>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</si>
  <si>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</si>
  <si>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</si>
  <si>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</si>
  <si>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</si>
  <si>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April</t>
    <phoneticPr fontId="1" type="noConversion"/>
  </si>
  <si>
    <t>May</t>
    <phoneticPr fontId="1" type="noConversion"/>
  </si>
  <si>
    <t>June</t>
    <phoneticPr fontId="1" type="noConversion"/>
  </si>
  <si>
    <t>July</t>
    <phoneticPr fontId="1" type="noConversion"/>
  </si>
  <si>
    <t>Sept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</si>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</sst>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3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2" fontId="6" fillId="0" borderId="8" xfId="0" applyNumberFormat="1" applyFont="1" applyBorder="1" applyAlignment="1"/>
    <xf numFmtId="2" fontId="6" fillId="0" borderId="39" xfId="0" applyNumberFormat="1" applyFont="1" applyBorder="1" applyAlignment="1"/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6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16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10" xfId="0" applyBorder="1"/>
    <xf numFmtId="0" fontId="5" fillId="2" borderId="48" xfId="0" applyFont="1" applyFill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30" xfId="0" applyBorder="1"/>
    <xf numFmtId="0" fontId="0" fillId="0" borderId="52" xfId="0" applyBorder="1"/>
    <xf numFmtId="0" fontId="7" fillId="3" borderId="39" xfId="0" applyFont="1" applyFill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8" xfId="0" applyBorder="1"/>
    <xf numFmtId="0" fontId="0" fillId="0" borderId="35" xfId="0" applyBorder="1"/>
    <xf numFmtId="0" fontId="0" fillId="0" borderId="36" xfId="0" applyBorder="1"/>
    <xf numFmtId="0" fontId="17" fillId="0" borderId="0" xfId="0" applyFont="1" applyBorder="1"/>
    <xf numFmtId="0" fontId="6" fillId="3" borderId="39" xfId="0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본 에너지 데이터 </a:t>
            </a:r>
            <a:r>
              <a:rPr lang="en-US" altLang="ko-KR"/>
              <a:t>(</a:t>
            </a:r>
            <a:r>
              <a:rPr lang="ko-KR" altLang="en-US"/>
              <a:t>최적 보정결과</a:t>
            </a:r>
            <a:r>
              <a:rPr lang="en-US" altLang="ko-KR"/>
              <a:t>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A6-40BF-BB44-0036F53A6B4B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A6-40BF-BB44-0036F53A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Calibration_Model!$D$13:$O$13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DA6-40BF-BB44-0036F53A6B4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Calibration_Model!$D$13:$O$13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DA6-40BF-BB44-0036F53A6B4B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시뮬레이션 결과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B-45F4-A8B0-27CA0E587FD2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B-45F4-A8B0-27CA0E587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Calibration_Model!$D$13:$O$13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43B-45F4-A8B0-27CA0E587FD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Calibration_Model!$D$13:$O$13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43B-45F4-A8B0-27CA0E587FD2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Calibration_Model!$C$14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Calibration_Model!$D$14:$O$14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Calibration_Model!$D$17:$O$17</c:f>
              <c:numCache>
                <c:formatCode>0.00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Calibration_Model!$C$15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Calibration_Model!$D$15:$O$15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516591</xdr:colOff>
          <xdr:row>35</xdr:row>
          <xdr:rowOff>38100</xdr:rowOff>
        </xdr:from>
        <xdr:to>
          <xdr:col>12</xdr:col>
          <xdr:colOff>221317</xdr:colOff>
          <xdr:row>36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직접보정 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330014</xdr:colOff>
      <xdr:row>20</xdr:row>
      <xdr:rowOff>101971</xdr:rowOff>
    </xdr:from>
    <xdr:to>
      <xdr:col>12</xdr:col>
      <xdr:colOff>324972</xdr:colOff>
      <xdr:row>33</xdr:row>
      <xdr:rowOff>93678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307042</xdr:colOff>
          <xdr:row>35</xdr:row>
          <xdr:rowOff>43703</xdr:rowOff>
        </xdr:from>
        <xdr:to>
          <xdr:col>10</xdr:col>
          <xdr:colOff>16809</xdr:colOff>
          <xdr:row>36</xdr:row>
          <xdr:rowOff>189940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자동보정시작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244288</xdr:colOff>
          <xdr:row>7</xdr:row>
          <xdr:rowOff>211231</xdr:rowOff>
        </xdr:from>
        <xdr:to>
          <xdr:col>14</xdr:col>
          <xdr:colOff>642097</xdr:colOff>
          <xdr:row>9</xdr:row>
          <xdr:rowOff>144556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다음단계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45</xdr:row>
          <xdr:rowOff>47625</xdr:rowOff>
        </xdr:from>
        <xdr:to>
          <xdr:col>10</xdr:col>
          <xdr:colOff>593912</xdr:colOff>
          <xdr:row>46</xdr:row>
          <xdr:rowOff>190500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Selection Dialog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340695</xdr:colOff>
      <xdr:row>43</xdr:row>
      <xdr:rowOff>182546</xdr:rowOff>
    </xdr:from>
    <xdr:to>
      <xdr:col>13</xdr:col>
      <xdr:colOff>561896</xdr:colOff>
      <xdr:row>46</xdr:row>
      <xdr:rowOff>93979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59" t="35977" r="19159" b="35977"/>
        <a:stretch/>
      </xdr:blipFill>
      <xdr:spPr>
        <a:xfrm>
          <a:off x="8476166" y="9348958"/>
          <a:ext cx="2271877" cy="550169"/>
        </a:xfrm>
        <a:prstGeom prst="rect">
          <a:avLst/>
        </a:prstGeom>
      </xdr:spPr>
    </xdr:pic>
    <xdr:clientData/>
  </xdr:twoCellAnchor>
  <xdr:twoCellAnchor>
    <xdr:from>
      <xdr:col>4</xdr:col>
      <xdr:colOff>1671278</xdr:colOff>
      <xdr:row>30</xdr:row>
      <xdr:rowOff>22411</xdr:rowOff>
    </xdr:from>
    <xdr:to>
      <xdr:col>11</xdr:col>
      <xdr:colOff>672914</xdr:colOff>
      <xdr:row>43</xdr:row>
      <xdr:rowOff>16519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667871</xdr:colOff>
      <xdr:row>8</xdr:row>
      <xdr:rowOff>112058</xdr:rowOff>
    </xdr:from>
    <xdr:to>
      <xdr:col>4</xdr:col>
      <xdr:colOff>1622704</xdr:colOff>
      <xdr:row>10</xdr:row>
      <xdr:rowOff>75570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021106" y="1815352"/>
          <a:ext cx="1638392" cy="389337"/>
        </a:xfrm>
        <a:prstGeom prst="rect">
          <a:avLst/>
        </a:prstGeom>
      </xdr:spPr>
    </xdr:pic>
    <xdr:clientData/>
  </xdr:twoCellAnchor>
  <xdr:twoCellAnchor>
    <xdr:from>
      <xdr:col>12</xdr:col>
      <xdr:colOff>163286</xdr:colOff>
      <xdr:row>30</xdr:row>
      <xdr:rowOff>0</xdr:rowOff>
    </xdr:from>
    <xdr:to>
      <xdr:col>19</xdr:col>
      <xdr:colOff>158243</xdr:colOff>
      <xdr:row>42</xdr:row>
      <xdr:rowOff>198215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285189</xdr:colOff>
          <xdr:row>6</xdr:row>
          <xdr:rowOff>39781</xdr:rowOff>
        </xdr:from>
        <xdr:to>
          <xdr:col>20</xdr:col>
          <xdr:colOff>673473</xdr:colOff>
          <xdr:row>7</xdr:row>
          <xdr:rowOff>182656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다음단계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348503</xdr:colOff>
          <xdr:row>6</xdr:row>
          <xdr:rowOff>44824</xdr:rowOff>
        </xdr:from>
        <xdr:to>
          <xdr:col>19</xdr:col>
          <xdr:colOff>53228</xdr:colOff>
          <xdr:row>7</xdr:row>
          <xdr:rowOff>191061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이전단계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1647264</xdr:colOff>
      <xdr:row>33</xdr:row>
      <xdr:rowOff>201706</xdr:rowOff>
    </xdr:from>
    <xdr:to>
      <xdr:col>2</xdr:col>
      <xdr:colOff>1467101</xdr:colOff>
      <xdr:row>35</xdr:row>
      <xdr:rowOff>147609</xdr:rowOff>
    </xdr:to>
    <xdr:pic macro="[0]!ShowInsulationForm">
      <xdr:nvPicPr>
        <xdr:cNvPr id="2" name="그림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18" t="35977" r="19118" b="35977"/>
        <a:stretch/>
      </xdr:blipFill>
      <xdr:spPr>
        <a:xfrm>
          <a:off x="3608293" y="7429500"/>
          <a:ext cx="1635190" cy="37172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257737</xdr:colOff>
      <xdr:row>2</xdr:row>
      <xdr:rowOff>67236</xdr:rowOff>
    </xdr:from>
    <xdr:to>
      <xdr:col>26</xdr:col>
      <xdr:colOff>113075</xdr:colOff>
      <xdr:row>5</xdr:row>
      <xdr:rowOff>95168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08766" y="851648"/>
          <a:ext cx="5323809" cy="666667"/>
        </a:xfrm>
        <a:prstGeom prst="rect">
          <a:avLst/>
        </a:prstGeom>
      </xdr:spPr>
    </xdr:pic>
    <xdr:clientData/>
  </xdr:twoCellAnchor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65"/>
  <sheetViews>
    <sheetView tabSelected="1" topLeftCell="A19" zoomScale="85" zoomScaleNormal="85" workbookViewId="0">
      <selection activeCell="C37" sqref="C37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  <col min="21" max="32" width="0" hidden="1" customWidth="1"/>
  </cols>
  <sheetData>
    <row r="2" spans="1:32" ht="17.25" thickBot="1" x14ac:dyDescent="0.35"/>
    <row r="3" spans="1:32" x14ac:dyDescent="0.3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3"/>
      <c r="U3">
        <f>POWER(D14-D17,2)</f>
        <v>148225</v>
      </c>
      <c r="V3">
        <f>POWER(E14-E17,2)</f>
        <v>119025</v>
      </c>
      <c r="W3">
        <f>POWER(F14-F17,2)</f>
        <v>139129</v>
      </c>
      <c r="X3">
        <f>POWER(G14-G17,2)</f>
        <v>125316</v>
      </c>
      <c r="Y3">
        <f>POWER(H14-H17,2)</f>
        <v>135424</v>
      </c>
      <c r="Z3">
        <f>POWER(I14-I17,2)</f>
        <v>131769</v>
      </c>
      <c r="AA3">
        <f>POWER(J14-J17,2)</f>
        <v>149769</v>
      </c>
      <c r="AB3">
        <f>POWER(K14-K17,2)</f>
        <v>183184</v>
      </c>
      <c r="AC3">
        <f>POWER(L14-L17,2)</f>
        <v>125316</v>
      </c>
      <c r="AD3">
        <f>POWER(M14-M17,2)</f>
        <v>115600</v>
      </c>
      <c r="AE3">
        <f>POWER(N14-N17,2)</f>
        <v>139129</v>
      </c>
      <c r="AF3">
        <f>POWER(O14-O17,2)</f>
        <v>154449</v>
      </c>
    </row>
    <row r="4" spans="1:32" x14ac:dyDescent="0.3">
      <c r="A4" s="104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6"/>
      <c r="U4">
        <f>POWER(D15-D18,2)</f>
        <v>33160.409999999996</v>
      </c>
      <c r="V4">
        <f>POWER(E15-E18,2)</f>
        <v>35986.089999999997</v>
      </c>
      <c r="W4">
        <f>POWER(F15-F18,2)</f>
        <v>17318.559999999998</v>
      </c>
      <c r="X4">
        <f>POWER(G15-G18,2)</f>
        <v>9350.8900000000012</v>
      </c>
      <c r="Y4">
        <f>POWER(H15-H18,2)</f>
        <v>2209</v>
      </c>
      <c r="Z4">
        <f>POWER(I15-I18,2)</f>
        <v>924.16</v>
      </c>
      <c r="AA4">
        <f>POWER(J15-J18,2)</f>
        <v>542.89</v>
      </c>
      <c r="AB4">
        <f>POWER(K15-K18,2)</f>
        <v>299.29000000000002</v>
      </c>
      <c r="AC4">
        <f>POWER(L15-L18,2)</f>
        <v>376.35999999999996</v>
      </c>
      <c r="AD4">
        <f>POWER(M15-M18,2)</f>
        <v>1176.4899999999998</v>
      </c>
      <c r="AE4">
        <f>POWER(N15-N18,2)</f>
        <v>11599.29</v>
      </c>
      <c r="AF4">
        <f>POWER(O15-O18,2)</f>
        <v>38298.49</v>
      </c>
    </row>
    <row r="5" spans="1:32" ht="17.25" thickBot="1" x14ac:dyDescent="0.35">
      <c r="A5" s="10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6"/>
    </row>
    <row r="6" spans="1:32" ht="17.25" thickBot="1" x14ac:dyDescent="0.35">
      <c r="A6" s="104"/>
      <c r="B6" s="1" t="s">
        <v>454</v>
      </c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6"/>
    </row>
    <row r="7" spans="1:32" x14ac:dyDescent="0.3">
      <c r="A7" s="104"/>
      <c r="B7" s="2" t="s">
        <v>11</v>
      </c>
      <c r="C7" s="27" t="s">
        <v>142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6"/>
      <c r="U7">
        <f>SUM(U3:AF3)</f>
        <v>1666335</v>
      </c>
    </row>
    <row r="8" spans="1:32" x14ac:dyDescent="0.3">
      <c r="A8" s="104"/>
      <c r="B8" s="3" t="s">
        <v>12</v>
      </c>
      <c r="C8" s="28" t="s">
        <v>165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6"/>
      <c r="U8">
        <f>SUM(U4:AF4)</f>
        <v>151241.91999999998</v>
      </c>
    </row>
    <row r="9" spans="1:32" x14ac:dyDescent="0.3">
      <c r="A9" s="104"/>
      <c r="B9" s="3" t="s">
        <v>14</v>
      </c>
      <c r="C9" s="28" t="s">
        <v>143</v>
      </c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6"/>
    </row>
    <row r="10" spans="1:32" ht="17.25" thickBot="1" x14ac:dyDescent="0.35">
      <c r="A10" s="104"/>
      <c r="B10" s="4" t="s">
        <v>15</v>
      </c>
      <c r="C10" s="29" t="s">
        <v>144</v>
      </c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6"/>
      <c r="U10">
        <f>U7/11</f>
        <v>151485</v>
      </c>
    </row>
    <row r="11" spans="1:32" x14ac:dyDescent="0.3">
      <c r="A11" s="10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6"/>
      <c r="U11">
        <f>U8/11</f>
        <v>13749.265454545453</v>
      </c>
    </row>
    <row r="12" spans="1:32" ht="17.25" thickBot="1" x14ac:dyDescent="0.35">
      <c r="A12" s="10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7" t="s">
        <v>147</v>
      </c>
      <c r="P12" s="106"/>
    </row>
    <row r="13" spans="1:32" ht="17.25" thickBot="1" x14ac:dyDescent="0.35">
      <c r="A13" s="104"/>
      <c r="B13" s="105"/>
      <c r="C13" s="105"/>
      <c r="D13" s="31" t="s">
        <v>17</v>
      </c>
      <c r="E13" s="32" t="s">
        <v>1</v>
      </c>
      <c r="F13" s="32" t="s">
        <v>2</v>
      </c>
      <c r="G13" s="32" t="s">
        <v>8</v>
      </c>
      <c r="H13" s="32" t="s">
        <v>3</v>
      </c>
      <c r="I13" s="32" t="s">
        <v>9</v>
      </c>
      <c r="J13" s="32" t="s">
        <v>10</v>
      </c>
      <c r="K13" s="32" t="s">
        <v>6</v>
      </c>
      <c r="L13" s="32" t="s">
        <v>7</v>
      </c>
      <c r="M13" s="32" t="s">
        <v>4</v>
      </c>
      <c r="N13" s="32" t="s">
        <v>5</v>
      </c>
      <c r="O13" s="33" t="s">
        <v>0</v>
      </c>
      <c r="P13" s="106"/>
      <c r="U13" s="53">
        <f>SQRT(U10)/AVERAGE(D14:O14)</f>
        <v>1.0464998606262983</v>
      </c>
    </row>
    <row r="14" spans="1:32" x14ac:dyDescent="0.3">
      <c r="A14" s="104"/>
      <c r="B14" s="105"/>
      <c r="C14" s="30" t="s">
        <v>146</v>
      </c>
      <c r="D14" s="52">
        <v>385</v>
      </c>
      <c r="E14" s="46">
        <v>345</v>
      </c>
      <c r="F14" s="46">
        <v>373</v>
      </c>
      <c r="G14" s="46">
        <v>354</v>
      </c>
      <c r="H14" s="46">
        <v>368</v>
      </c>
      <c r="I14" s="46">
        <v>363</v>
      </c>
      <c r="J14" s="46">
        <v>387</v>
      </c>
      <c r="K14" s="46">
        <v>428</v>
      </c>
      <c r="L14" s="46">
        <v>354</v>
      </c>
      <c r="M14" s="46">
        <v>340</v>
      </c>
      <c r="N14" s="46">
        <v>373</v>
      </c>
      <c r="O14" s="48">
        <v>393</v>
      </c>
      <c r="P14" s="106"/>
      <c r="U14" s="53">
        <f>SQRT(U11)/AVERAGE(D15:O15)</f>
        <v>1.3086747973371877</v>
      </c>
    </row>
    <row r="15" spans="1:32" ht="17.25" thickBot="1" x14ac:dyDescent="0.35">
      <c r="A15" s="104"/>
      <c r="B15" s="105"/>
      <c r="C15" s="34" t="s">
        <v>145</v>
      </c>
      <c r="D15" s="36">
        <v>182.1</v>
      </c>
      <c r="E15" s="37">
        <v>189.7</v>
      </c>
      <c r="F15" s="37">
        <v>131.6</v>
      </c>
      <c r="G15" s="37">
        <v>96.7</v>
      </c>
      <c r="H15" s="37">
        <v>47</v>
      </c>
      <c r="I15" s="37">
        <v>30.4</v>
      </c>
      <c r="J15" s="37">
        <v>23.3</v>
      </c>
      <c r="K15" s="37">
        <v>17.3</v>
      </c>
      <c r="L15" s="37">
        <v>19.399999999999999</v>
      </c>
      <c r="M15" s="37">
        <v>34.299999999999997</v>
      </c>
      <c r="N15" s="37">
        <v>107.7</v>
      </c>
      <c r="O15" s="38">
        <v>195.7</v>
      </c>
      <c r="P15" s="106"/>
    </row>
    <row r="16" spans="1:32" ht="17.25" thickBot="1" x14ac:dyDescent="0.35">
      <c r="A16" s="104"/>
      <c r="B16" s="105"/>
      <c r="C16" s="105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6"/>
    </row>
    <row r="17" spans="1:16" x14ac:dyDescent="0.3">
      <c r="A17" s="104"/>
      <c r="B17" s="105"/>
      <c r="C17" s="30" t="s">
        <v>154</v>
      </c>
      <c r="D17" s="45"/>
      <c r="E17" s="46"/>
      <c r="F17" s="47"/>
      <c r="G17" s="46"/>
      <c r="H17" s="47"/>
      <c r="I17" s="46"/>
      <c r="J17" s="47"/>
      <c r="K17" s="46"/>
      <c r="L17" s="47"/>
      <c r="M17" s="46"/>
      <c r="N17" s="47"/>
      <c r="O17" s="48"/>
      <c r="P17" s="106"/>
    </row>
    <row r="18" spans="1:16" ht="17.25" thickBot="1" x14ac:dyDescent="0.35">
      <c r="A18" s="104"/>
      <c r="B18" s="105"/>
      <c r="C18" s="35" t="s">
        <v>156</v>
      </c>
      <c r="D18" s="49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1"/>
      <c r="P18" s="106"/>
    </row>
    <row r="19" spans="1:16" ht="17.25" thickBot="1" x14ac:dyDescent="0.35">
      <c r="A19" s="104"/>
      <c r="B19" s="105"/>
      <c r="C19" s="39" t="s">
        <v>155</v>
      </c>
      <c r="D19" s="41">
        <f>SQRT(U10)/AVERAGE(D14:O14) * 100</f>
        <v>104.64998606262984</v>
      </c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6"/>
    </row>
    <row r="20" spans="1:16" ht="17.25" thickBot="1" x14ac:dyDescent="0.35">
      <c r="A20" s="104"/>
      <c r="B20" s="105"/>
      <c r="C20" s="40" t="s">
        <v>157</v>
      </c>
      <c r="D20" s="42">
        <f>SQRT(U11)/AVERAGE(D15:O15) * 100</f>
        <v>130.86747973371877</v>
      </c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6"/>
    </row>
    <row r="21" spans="1:16" x14ac:dyDescent="0.3">
      <c r="A21" s="104"/>
      <c r="B21" s="105"/>
      <c r="C21" s="39" t="s">
        <v>158</v>
      </c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6"/>
    </row>
    <row r="22" spans="1:16" ht="17.25" thickBot="1" x14ac:dyDescent="0.35">
      <c r="A22" s="104"/>
      <c r="B22" s="105"/>
      <c r="C22" s="40" t="s">
        <v>159</v>
      </c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6"/>
    </row>
    <row r="23" spans="1:16" x14ac:dyDescent="0.3">
      <c r="A23" s="104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6"/>
    </row>
    <row r="24" spans="1:16" x14ac:dyDescent="0.3">
      <c r="A24" s="104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6"/>
    </row>
    <row r="25" spans="1:16" x14ac:dyDescent="0.3">
      <c r="A25" s="104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6"/>
    </row>
    <row r="26" spans="1:16" x14ac:dyDescent="0.3">
      <c r="A26" s="10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6"/>
    </row>
    <row r="27" spans="1:16" x14ac:dyDescent="0.3">
      <c r="A27" s="10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6"/>
    </row>
    <row r="28" spans="1:16" x14ac:dyDescent="0.3">
      <c r="A28" s="10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6"/>
    </row>
    <row r="29" spans="1:16" x14ac:dyDescent="0.3">
      <c r="A29" s="10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6"/>
    </row>
    <row r="30" spans="1:16" x14ac:dyDescent="0.3">
      <c r="A30" s="10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6"/>
    </row>
    <row r="31" spans="1:16" x14ac:dyDescent="0.3">
      <c r="A31" s="10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6"/>
    </row>
    <row r="32" spans="1:16" x14ac:dyDescent="0.3">
      <c r="A32" s="10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6"/>
    </row>
    <row r="33" spans="1:16" x14ac:dyDescent="0.3">
      <c r="A33" s="10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6"/>
    </row>
    <row r="34" spans="1:16" x14ac:dyDescent="0.3">
      <c r="A34" s="10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6"/>
    </row>
    <row r="35" spans="1:16" x14ac:dyDescent="0.3">
      <c r="A35" s="10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6"/>
    </row>
    <row r="36" spans="1:16" x14ac:dyDescent="0.3">
      <c r="A36" s="10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6"/>
    </row>
    <row r="37" spans="1:16" x14ac:dyDescent="0.3">
      <c r="A37" s="104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6"/>
    </row>
    <row r="38" spans="1:16" x14ac:dyDescent="0.3">
      <c r="A38" s="104"/>
      <c r="B38" s="105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6"/>
    </row>
    <row r="39" spans="1:16" x14ac:dyDescent="0.3">
      <c r="A39" s="104"/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6"/>
    </row>
    <row r="40" spans="1:16" ht="17.25" thickBot="1" x14ac:dyDescent="0.35">
      <c r="A40" s="109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1"/>
    </row>
    <row r="42" spans="1:16" ht="17.25" thickBot="1" x14ac:dyDescent="0.35"/>
    <row r="43" spans="1:16" ht="17.25" thickBot="1" x14ac:dyDescent="0.35">
      <c r="A43" s="101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3"/>
    </row>
    <row r="44" spans="1:16" ht="17.25" thickBot="1" x14ac:dyDescent="0.35">
      <c r="A44" s="104"/>
      <c r="B44" s="113" t="s">
        <v>453</v>
      </c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6"/>
    </row>
    <row r="45" spans="1:16" x14ac:dyDescent="0.3">
      <c r="A45" s="104"/>
      <c r="B45" s="2" t="s">
        <v>455</v>
      </c>
      <c r="C45" s="2" t="s">
        <v>456</v>
      </c>
      <c r="D45" s="2" t="s">
        <v>457</v>
      </c>
      <c r="E45" s="2" t="s">
        <v>458</v>
      </c>
      <c r="F45" s="2" t="s">
        <v>459</v>
      </c>
      <c r="G45" s="2" t="s">
        <v>460</v>
      </c>
      <c r="H45" s="105"/>
      <c r="I45" s="105"/>
      <c r="J45" s="105"/>
      <c r="K45" s="105"/>
      <c r="L45" s="105"/>
      <c r="M45" s="105"/>
      <c r="N45" s="105"/>
      <c r="O45" s="105"/>
      <c r="P45" s="106"/>
    </row>
    <row r="46" spans="1:16" x14ac:dyDescent="0.3">
      <c r="B46" s="114">
        <v>1</v>
      </c>
      <c r="C46" s="112">
        <v>20</v>
      </c>
      <c r="D46" s="112" t="b">
        <f>IF(G46="Y",IF(AND(C46&gt;=E46,C46&lt;=F46,C46=INT(C46)),TRUE,FALSE),IF(AND(C46&gt;=E46,C46&lt;=F46),TRUE,FALSE))</f>
        <v>1</v>
      </c>
      <c r="E46" s="112">
        <v>18</v>
      </c>
      <c r="F46" s="112">
        <v>22</v>
      </c>
      <c r="G46" s="115" t="s">
        <v>162</v>
      </c>
      <c r="H46" s="105"/>
      <c r="I46" s="105"/>
      <c r="J46" s="105"/>
      <c r="K46" s="105"/>
      <c r="L46" s="105"/>
      <c r="M46" s="105"/>
      <c r="N46" s="105"/>
      <c r="O46" s="105"/>
      <c r="P46" s="106"/>
    </row>
    <row r="47" spans="1:16" x14ac:dyDescent="0.3">
      <c r="B47" s="114">
        <v>2</v>
      </c>
      <c r="C47" s="112">
        <v>24</v>
      </c>
      <c r="D47" s="112" t="b">
        <f t="shared" ref="D47:D48" si="0">IF(G47="Y",IF(AND(C47&gt;=E47,C47&lt;=F47,C47=INT(C47)),TRUE,FALSE),IF(AND(C47&gt;=E47,C47&lt;=F47),TRUE,FALSE))</f>
        <v>1</v>
      </c>
      <c r="E47" s="112">
        <v>23</v>
      </c>
      <c r="F47" s="112">
        <v>28</v>
      </c>
      <c r="G47" s="115" t="s">
        <v>162</v>
      </c>
      <c r="H47" s="105"/>
      <c r="I47" s="105"/>
      <c r="J47" s="105"/>
      <c r="K47" s="105"/>
      <c r="L47" s="105"/>
      <c r="M47" s="105"/>
      <c r="N47" s="105"/>
      <c r="O47" s="105"/>
      <c r="P47" s="106"/>
    </row>
    <row r="48" spans="1:16" x14ac:dyDescent="0.3">
      <c r="B48" s="114">
        <v>3</v>
      </c>
      <c r="C48" s="112">
        <v>295</v>
      </c>
      <c r="D48" s="112" t="b">
        <f t="shared" si="0"/>
        <v>1</v>
      </c>
      <c r="E48" s="112">
        <v>100</v>
      </c>
      <c r="F48" s="112">
        <v>800</v>
      </c>
      <c r="G48" s="115" t="s">
        <v>162</v>
      </c>
      <c r="H48" s="105"/>
      <c r="I48" s="105"/>
      <c r="J48" s="105"/>
      <c r="K48" s="105"/>
      <c r="L48" s="105"/>
      <c r="M48" s="105"/>
      <c r="N48" s="105"/>
      <c r="O48" s="105"/>
      <c r="P48" s="106"/>
    </row>
    <row r="49" spans="1:16" ht="17.25" thickBot="1" x14ac:dyDescent="0.35">
      <c r="B49" s="116"/>
      <c r="C49" s="117"/>
      <c r="D49" s="117"/>
      <c r="E49" s="117"/>
      <c r="F49" s="117"/>
      <c r="G49" s="118"/>
      <c r="H49" s="105"/>
      <c r="I49" s="105"/>
      <c r="J49" s="105"/>
      <c r="K49" s="105"/>
      <c r="L49" s="105"/>
      <c r="M49" s="105"/>
      <c r="N49" s="105"/>
      <c r="O49" s="105"/>
      <c r="P49" s="106"/>
    </row>
    <row r="50" spans="1:16" x14ac:dyDescent="0.3">
      <c r="A50" s="10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6"/>
    </row>
    <row r="51" spans="1:16" x14ac:dyDescent="0.3">
      <c r="A51" s="10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6"/>
    </row>
    <row r="52" spans="1:16" x14ac:dyDescent="0.3">
      <c r="A52" s="10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6"/>
    </row>
    <row r="53" spans="1:16" x14ac:dyDescent="0.3">
      <c r="A53" s="10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6"/>
    </row>
    <row r="54" spans="1:16" x14ac:dyDescent="0.3">
      <c r="A54" s="10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6"/>
    </row>
    <row r="55" spans="1:16" x14ac:dyDescent="0.3">
      <c r="A55" s="10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6"/>
    </row>
    <row r="56" spans="1:16" x14ac:dyDescent="0.3">
      <c r="A56" s="10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6"/>
    </row>
    <row r="57" spans="1:16" x14ac:dyDescent="0.3">
      <c r="A57" s="10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6"/>
    </row>
    <row r="58" spans="1:16" x14ac:dyDescent="0.3">
      <c r="A58" s="104"/>
      <c r="B58" s="105"/>
      <c r="C58" s="10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6"/>
    </row>
    <row r="59" spans="1:16" x14ac:dyDescent="0.3">
      <c r="A59" s="104"/>
      <c r="B59" s="105"/>
      <c r="C59" s="105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6"/>
    </row>
    <row r="60" spans="1:16" x14ac:dyDescent="0.3">
      <c r="A60" s="104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6"/>
    </row>
    <row r="61" spans="1:16" x14ac:dyDescent="0.3">
      <c r="A61" s="104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6"/>
    </row>
    <row r="62" spans="1:16" x14ac:dyDescent="0.3">
      <c r="A62" s="104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6"/>
    </row>
    <row r="63" spans="1:16" x14ac:dyDescent="0.3">
      <c r="A63" s="104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6"/>
    </row>
    <row r="64" spans="1:16" x14ac:dyDescent="0.3">
      <c r="A64" s="104"/>
      <c r="B64" s="105"/>
      <c r="C64" s="105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6"/>
    </row>
    <row r="65" spans="1:16" ht="17.25" thickBot="1" x14ac:dyDescent="0.35">
      <c r="A65" s="109"/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1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ameterFormShow">
                <anchor moveWithCells="1" sizeWithCells="1">
                  <from>
                    <xdr:col>10</xdr:col>
                    <xdr:colOff>514350</xdr:colOff>
                    <xdr:row>35</xdr:row>
                    <xdr:rowOff>38100</xdr:rowOff>
                  </from>
                  <to>
                    <xdr:col>12</xdr:col>
                    <xdr:colOff>219075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rameterFormShow">
                <anchor moveWithCells="1" sizeWithCells="1">
                  <from>
                    <xdr:col>8</xdr:col>
                    <xdr:colOff>304800</xdr:colOff>
                    <xdr:row>35</xdr:row>
                    <xdr:rowOff>47625</xdr:rowOff>
                  </from>
                  <to>
                    <xdr:col>10</xdr:col>
                    <xdr:colOff>19050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arameterFormShow">
                <anchor moveWithCells="1" sizeWithCells="1">
                  <from>
                    <xdr:col>13</xdr:col>
                    <xdr:colOff>247650</xdr:colOff>
                    <xdr:row>7</xdr:row>
                    <xdr:rowOff>209550</xdr:rowOff>
                  </from>
                  <to>
                    <xdr:col>14</xdr:col>
                    <xdr:colOff>638175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macro1">
                <anchor moveWithCells="1" sizeWithCells="1">
                  <from>
                    <xdr:col>8</xdr:col>
                    <xdr:colOff>304800</xdr:colOff>
                    <xdr:row>45</xdr:row>
                    <xdr:rowOff>47625</xdr:rowOff>
                  </from>
                  <to>
                    <xdr:col>10</xdr:col>
                    <xdr:colOff>590550</xdr:colOff>
                    <xdr:row>46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Variables!$D$4:$D$6</xm:f>
          </x14:formula1>
          <xm:sqref>C7</xm:sqref>
        </x14:dataValidation>
        <x14:dataValidation type="list" allowBlank="1" showInputMessage="1" showErrorMessage="1">
          <x14:formula1>
            <xm:f>Variables!$D$8:$D$12</xm:f>
          </x14:formula1>
          <xm:sqref>C8</xm:sqref>
        </x14:dataValidation>
        <x14:dataValidation type="list" allowBlank="1" showInputMessage="1" showErrorMessage="1">
          <x14:formula1>
            <xm:f>Variables!$D$15:$D$22</xm:f>
          </x14:formula1>
          <xm:sqref>C9</xm:sqref>
        </x14:dataValidation>
        <x14:dataValidation type="list" allowBlank="1" showInputMessage="1" showErrorMessage="1">
          <x14:formula1>
            <xm:f>Variables!$D$24:$D$29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47"/>
  <sheetViews>
    <sheetView topLeftCell="A7" zoomScale="85" zoomScaleNormal="85" workbookViewId="0">
      <selection activeCell="E42" sqref="E42"/>
    </sheetView>
  </sheetViews>
  <sheetFormatPr defaultRowHeight="16.5" x14ac:dyDescent="0.3"/>
  <cols>
    <col min="3" max="3" width="13" bestFit="1" customWidth="1"/>
    <col min="5" max="5" width="22" bestFit="1" customWidth="1"/>
    <col min="7" max="7" width="9" customWidth="1"/>
  </cols>
  <sheetData>
    <row r="1" spans="1:22" x14ac:dyDescent="0.3">
      <c r="A1" t="s">
        <v>175</v>
      </c>
    </row>
    <row r="4" spans="1:22" ht="17.25" thickBot="1" x14ac:dyDescent="0.35"/>
    <row r="5" spans="1:22" x14ac:dyDescent="0.3">
      <c r="B5" s="101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3"/>
    </row>
    <row r="6" spans="1:22" x14ac:dyDescent="0.3">
      <c r="B6" s="104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3">
      <c r="B7" s="104"/>
      <c r="C7" s="105" t="s">
        <v>167</v>
      </c>
      <c r="D7" s="105"/>
      <c r="E7" s="105" t="s">
        <v>174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6"/>
    </row>
    <row r="8" spans="1:22" x14ac:dyDescent="0.3">
      <c r="B8" s="104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6"/>
    </row>
    <row r="9" spans="1:22" x14ac:dyDescent="0.3">
      <c r="B9" s="104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6"/>
    </row>
    <row r="10" spans="1:22" x14ac:dyDescent="0.3">
      <c r="B10" s="104"/>
      <c r="C10" s="126" t="s">
        <v>168</v>
      </c>
      <c r="D10" s="105"/>
      <c r="E10" s="105" t="s">
        <v>174</v>
      </c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6"/>
    </row>
    <row r="11" spans="1:22" x14ac:dyDescent="0.3">
      <c r="B11" s="104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6"/>
    </row>
    <row r="12" spans="1:22" x14ac:dyDescent="0.3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6"/>
    </row>
    <row r="13" spans="1:22" x14ac:dyDescent="0.3">
      <c r="B13" s="104"/>
      <c r="C13" s="105" t="s">
        <v>169</v>
      </c>
      <c r="D13" s="105"/>
      <c r="E13" s="105" t="s">
        <v>174</v>
      </c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6"/>
    </row>
    <row r="14" spans="1:22" x14ac:dyDescent="0.3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6"/>
    </row>
    <row r="15" spans="1:22" x14ac:dyDescent="0.3">
      <c r="B15" s="104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6"/>
    </row>
    <row r="16" spans="1:22" x14ac:dyDescent="0.3">
      <c r="B16" s="104"/>
      <c r="C16" s="105" t="s">
        <v>170</v>
      </c>
      <c r="D16" s="105"/>
      <c r="E16" s="105" t="s">
        <v>174</v>
      </c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6"/>
    </row>
    <row r="17" spans="2:22" x14ac:dyDescent="0.3">
      <c r="B17" s="104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6"/>
    </row>
    <row r="18" spans="2:22" x14ac:dyDescent="0.3">
      <c r="B18" s="104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6"/>
    </row>
    <row r="19" spans="2:22" x14ac:dyDescent="0.3">
      <c r="B19" s="104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6"/>
    </row>
    <row r="20" spans="2:22" x14ac:dyDescent="0.3">
      <c r="B20" s="104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05"/>
      <c r="U20" s="105"/>
      <c r="V20" s="106"/>
    </row>
    <row r="21" spans="2:22" x14ac:dyDescent="0.3">
      <c r="B21" s="104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6"/>
    </row>
    <row r="22" spans="2:22" x14ac:dyDescent="0.3">
      <c r="B22" s="104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6"/>
    </row>
    <row r="23" spans="2:22" ht="17.25" thickBot="1" x14ac:dyDescent="0.35">
      <c r="B23" s="104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6"/>
    </row>
    <row r="24" spans="2:22" ht="17.25" thickBot="1" x14ac:dyDescent="0.35">
      <c r="B24" s="104"/>
      <c r="C24" s="105" t="s">
        <v>171</v>
      </c>
      <c r="D24" s="105"/>
      <c r="E24" s="106"/>
      <c r="F24" s="31" t="s">
        <v>461</v>
      </c>
      <c r="G24" s="31" t="s">
        <v>462</v>
      </c>
      <c r="H24" s="31" t="s">
        <v>463</v>
      </c>
      <c r="I24" s="31" t="s">
        <v>464</v>
      </c>
      <c r="J24" s="31" t="s">
        <v>465</v>
      </c>
      <c r="K24" s="31" t="s">
        <v>466</v>
      </c>
      <c r="L24" s="31" t="s">
        <v>467</v>
      </c>
      <c r="M24" s="31" t="s">
        <v>6</v>
      </c>
      <c r="N24" s="31" t="s">
        <v>468</v>
      </c>
      <c r="O24" s="31" t="s">
        <v>469</v>
      </c>
      <c r="P24" s="31" t="s">
        <v>470</v>
      </c>
      <c r="Q24" s="119" t="s">
        <v>471</v>
      </c>
      <c r="R24" s="105"/>
      <c r="S24" s="105"/>
      <c r="T24" s="105"/>
      <c r="U24" s="105"/>
      <c r="V24" s="106"/>
    </row>
    <row r="25" spans="2:22" ht="17.25" thickBot="1" x14ac:dyDescent="0.35">
      <c r="B25" s="104"/>
      <c r="C25" s="105"/>
      <c r="D25" s="105"/>
      <c r="E25" s="127" t="s">
        <v>172</v>
      </c>
      <c r="F25" s="120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2"/>
      <c r="R25" s="105"/>
      <c r="S25" s="105"/>
      <c r="T25" s="105"/>
      <c r="U25" s="105"/>
      <c r="V25" s="106"/>
    </row>
    <row r="26" spans="2:22" ht="17.25" thickBot="1" x14ac:dyDescent="0.35">
      <c r="B26" s="104"/>
      <c r="C26" s="105"/>
      <c r="D26" s="105"/>
      <c r="E26" s="34" t="s">
        <v>173</v>
      </c>
      <c r="F26" s="123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5"/>
      <c r="R26" s="105"/>
      <c r="S26" s="105"/>
      <c r="T26" s="105"/>
      <c r="U26" s="105"/>
      <c r="V26" s="106"/>
    </row>
    <row r="27" spans="2:22" x14ac:dyDescent="0.3">
      <c r="B27" s="104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6"/>
    </row>
    <row r="28" spans="2:22" x14ac:dyDescent="0.3">
      <c r="B28" s="104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6"/>
    </row>
    <row r="29" spans="2:22" x14ac:dyDescent="0.3"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6"/>
    </row>
    <row r="30" spans="2:22" x14ac:dyDescent="0.3">
      <c r="B30" s="104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6"/>
    </row>
    <row r="31" spans="2:22" x14ac:dyDescent="0.3">
      <c r="B31" s="104"/>
      <c r="C31" s="105" t="s">
        <v>176</v>
      </c>
      <c r="D31" s="105"/>
      <c r="E31" s="105" t="s">
        <v>177</v>
      </c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6"/>
    </row>
    <row r="32" spans="2:22" x14ac:dyDescent="0.3">
      <c r="B32" s="104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6"/>
    </row>
    <row r="33" spans="2:22" x14ac:dyDescent="0.3">
      <c r="B33" s="104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6"/>
    </row>
    <row r="34" spans="2:22" x14ac:dyDescent="0.3">
      <c r="B34" s="104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6"/>
    </row>
    <row r="35" spans="2:22" x14ac:dyDescent="0.3">
      <c r="B35" s="104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6"/>
    </row>
    <row r="36" spans="2:22" x14ac:dyDescent="0.3">
      <c r="B36" s="104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6"/>
    </row>
    <row r="37" spans="2:22" x14ac:dyDescent="0.3">
      <c r="B37" s="104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6"/>
    </row>
    <row r="38" spans="2:22" x14ac:dyDescent="0.3">
      <c r="B38" s="104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6"/>
    </row>
    <row r="39" spans="2:22" x14ac:dyDescent="0.3">
      <c r="B39" s="104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6"/>
    </row>
    <row r="40" spans="2:22" x14ac:dyDescent="0.3">
      <c r="B40" s="104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6"/>
    </row>
    <row r="41" spans="2:22" x14ac:dyDescent="0.3">
      <c r="B41" s="104"/>
      <c r="C41" s="105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6"/>
    </row>
    <row r="42" spans="2:22" x14ac:dyDescent="0.3">
      <c r="B42" s="104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6"/>
    </row>
    <row r="43" spans="2:22" x14ac:dyDescent="0.3">
      <c r="B43" s="104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6"/>
    </row>
    <row r="44" spans="2:22" x14ac:dyDescent="0.3">
      <c r="B44" s="104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6"/>
    </row>
    <row r="45" spans="2:22" x14ac:dyDescent="0.3">
      <c r="B45" s="104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6"/>
    </row>
    <row r="46" spans="2:22" x14ac:dyDescent="0.3">
      <c r="B46" s="104"/>
      <c r="C46" s="105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6"/>
    </row>
    <row r="47" spans="2:22" ht="17.25" thickBot="1" x14ac:dyDescent="0.35">
      <c r="B47" s="109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arameterFormShow">
                <anchor moveWithCells="1" sizeWithCells="1">
                  <from>
                    <xdr:col>19</xdr:col>
                    <xdr:colOff>285750</xdr:colOff>
                    <xdr:row>6</xdr:row>
                    <xdr:rowOff>38100</xdr:rowOff>
                  </from>
                  <to>
                    <xdr:col>20</xdr:col>
                    <xdr:colOff>676275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arameterFormShow">
                <anchor moveWithCells="1" sizeWithCells="1">
                  <from>
                    <xdr:col>17</xdr:col>
                    <xdr:colOff>352425</xdr:colOff>
                    <xdr:row>6</xdr:row>
                    <xdr:rowOff>47625</xdr:rowOff>
                  </from>
                  <to>
                    <xdr:col>19</xdr:col>
                    <xdr:colOff>57150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"/>
  <sheetViews>
    <sheetView zoomScale="85" zoomScaleNormal="85" workbookViewId="0">
      <selection activeCell="J14" sqref="J14"/>
    </sheetView>
  </sheetViews>
  <sheetFormatPr defaultRowHeight="16.5" x14ac:dyDescent="0.3"/>
  <sheetData>
    <row r="1" spans="1:25" ht="17.25" thickBot="1" x14ac:dyDescent="0.35">
      <c r="A1" s="127" t="s">
        <v>472</v>
      </c>
      <c r="B1" s="131" t="s">
        <v>17</v>
      </c>
      <c r="C1" s="132" t="s">
        <v>1</v>
      </c>
      <c r="D1" s="132" t="s">
        <v>2</v>
      </c>
      <c r="E1" s="132" t="s">
        <v>8</v>
      </c>
      <c r="F1" s="132" t="s">
        <v>3</v>
      </c>
      <c r="G1" s="132" t="s">
        <v>9</v>
      </c>
      <c r="H1" s="132" t="s">
        <v>10</v>
      </c>
      <c r="I1" s="132" t="s">
        <v>6</v>
      </c>
      <c r="J1" s="132" t="s">
        <v>7</v>
      </c>
      <c r="K1" s="132" t="s">
        <v>4</v>
      </c>
      <c r="L1" s="132" t="s">
        <v>5</v>
      </c>
      <c r="M1" s="133" t="s">
        <v>0</v>
      </c>
      <c r="N1" s="128" t="s">
        <v>17</v>
      </c>
      <c r="O1" s="129" t="s">
        <v>1</v>
      </c>
      <c r="P1" s="129" t="s">
        <v>2</v>
      </c>
      <c r="Q1" s="129" t="s">
        <v>8</v>
      </c>
      <c r="R1" s="129" t="s">
        <v>3</v>
      </c>
      <c r="S1" s="129" t="s">
        <v>9</v>
      </c>
      <c r="T1" s="129" t="s">
        <v>10</v>
      </c>
      <c r="U1" s="129" t="s">
        <v>6</v>
      </c>
      <c r="V1" s="129" t="s">
        <v>7</v>
      </c>
      <c r="W1" s="129" t="s">
        <v>4</v>
      </c>
      <c r="X1" s="129" t="s">
        <v>5</v>
      </c>
      <c r="Y1" s="130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"/>
  <sheetViews>
    <sheetView workbookViewId="0"/>
  </sheetViews>
  <sheetFormatPr defaultRowHeight="16.5" x14ac:dyDescent="0.3"/>
  <sheetData>
    <row r="1" spans="1:11" x14ac:dyDescent="0.3">
      <c r="A1" t="s">
        <v>160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 t="s">
        <v>451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 t="s">
        <v>452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179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178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zoomScaleNormal="100" workbookViewId="0">
      <selection activeCell="C12" sqref="C12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148</v>
      </c>
      <c r="C2" t="s">
        <v>149</v>
      </c>
      <c r="D2" t="s">
        <v>150</v>
      </c>
      <c r="E2" t="s">
        <v>151</v>
      </c>
      <c r="F2" t="s">
        <v>152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162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162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166</v>
      </c>
    </row>
    <row r="18" spans="6:9" x14ac:dyDescent="0.3">
      <c r="F18" s="74" t="s">
        <v>153</v>
      </c>
      <c r="G18" s="74"/>
      <c r="H18" s="43">
        <f>(Calibration_Model!D19+Calibration_Model!D20)/2</f>
        <v>117.7587328981743</v>
      </c>
    </row>
    <row r="19" spans="6:9" x14ac:dyDescent="0.3">
      <c r="F19" s="74" t="s">
        <v>163</v>
      </c>
      <c r="G19" s="74"/>
      <c r="H19" s="44">
        <f>Calibration_Model!D19</f>
        <v>104.64998606262984</v>
      </c>
    </row>
    <row r="20" spans="6:9" x14ac:dyDescent="0.3">
      <c r="F20" s="74" t="s">
        <v>164</v>
      </c>
      <c r="G20" s="74"/>
      <c r="H20" s="44">
        <f>Calibration_Model!D20</f>
        <v>130.86747973371877</v>
      </c>
    </row>
    <row r="29" spans="6:9" x14ac:dyDescent="0.3">
      <c r="I29" t="s">
        <v>161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topLeftCell="A13" workbookViewId="0">
      <selection activeCell="G33" sqref="G33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18</v>
      </c>
      <c r="C2" s="5" t="s">
        <v>19</v>
      </c>
      <c r="D2" s="5" t="s">
        <v>20</v>
      </c>
      <c r="E2" s="5" t="s">
        <v>21</v>
      </c>
      <c r="F2" s="5" t="s">
        <v>22</v>
      </c>
    </row>
    <row r="3" spans="2:6" x14ac:dyDescent="0.3">
      <c r="B3" s="78" t="s">
        <v>23</v>
      </c>
      <c r="C3" s="78" t="s">
        <v>11</v>
      </c>
      <c r="D3" s="6" t="s">
        <v>24</v>
      </c>
      <c r="E3" s="6" t="s">
        <v>24</v>
      </c>
      <c r="F3" s="78" t="s">
        <v>25</v>
      </c>
    </row>
    <row r="4" spans="2:6" x14ac:dyDescent="0.3">
      <c r="B4" s="75"/>
      <c r="C4" s="75"/>
      <c r="D4" s="6" t="s">
        <v>26</v>
      </c>
      <c r="E4" s="6" t="s">
        <v>26</v>
      </c>
      <c r="F4" s="75"/>
    </row>
    <row r="5" spans="2:6" x14ac:dyDescent="0.3">
      <c r="B5" s="75"/>
      <c r="C5" s="75"/>
      <c r="D5" s="6" t="s">
        <v>27</v>
      </c>
      <c r="E5" s="6" t="s">
        <v>27</v>
      </c>
      <c r="F5" s="75"/>
    </row>
    <row r="6" spans="2:6" x14ac:dyDescent="0.3">
      <c r="B6" s="75"/>
      <c r="C6" s="76"/>
      <c r="D6" s="6" t="s">
        <v>28</v>
      </c>
      <c r="E6" s="6" t="s">
        <v>28</v>
      </c>
      <c r="F6" s="76"/>
    </row>
    <row r="7" spans="2:6" x14ac:dyDescent="0.3">
      <c r="B7" s="75"/>
      <c r="C7" s="78" t="s">
        <v>29</v>
      </c>
      <c r="D7" s="6" t="s">
        <v>29</v>
      </c>
      <c r="E7" s="6" t="s">
        <v>29</v>
      </c>
      <c r="F7" s="78" t="s">
        <v>25</v>
      </c>
    </row>
    <row r="8" spans="2:6" x14ac:dyDescent="0.3">
      <c r="B8" s="75"/>
      <c r="C8" s="75"/>
      <c r="D8" s="6" t="s">
        <v>30</v>
      </c>
      <c r="E8" s="6" t="s">
        <v>30</v>
      </c>
      <c r="F8" s="75"/>
    </row>
    <row r="9" spans="2:6" x14ac:dyDescent="0.3">
      <c r="B9" s="75"/>
      <c r="C9" s="75"/>
      <c r="D9" s="6" t="s">
        <v>31</v>
      </c>
      <c r="E9" s="6" t="s">
        <v>31</v>
      </c>
      <c r="F9" s="75"/>
    </row>
    <row r="10" spans="2:6" x14ac:dyDescent="0.3">
      <c r="B10" s="75"/>
      <c r="C10" s="75"/>
      <c r="D10" s="6" t="s">
        <v>33</v>
      </c>
      <c r="E10" s="6" t="s">
        <v>32</v>
      </c>
      <c r="F10" s="75"/>
    </row>
    <row r="11" spans="2:6" x14ac:dyDescent="0.3">
      <c r="B11" s="75"/>
      <c r="C11" s="75"/>
      <c r="D11" s="6" t="s">
        <v>34</v>
      </c>
      <c r="E11" s="6" t="s">
        <v>34</v>
      </c>
      <c r="F11" s="75"/>
    </row>
    <row r="12" spans="2:6" x14ac:dyDescent="0.3">
      <c r="B12" s="75"/>
      <c r="C12" s="76"/>
      <c r="D12" s="6" t="s">
        <v>35</v>
      </c>
      <c r="E12" s="6" t="s">
        <v>36</v>
      </c>
      <c r="F12" s="76"/>
    </row>
    <row r="13" spans="2:6" x14ac:dyDescent="0.3">
      <c r="B13" s="75"/>
      <c r="C13" s="7" t="s">
        <v>13</v>
      </c>
      <c r="D13" s="8">
        <v>0</v>
      </c>
      <c r="E13" s="8">
        <v>0</v>
      </c>
      <c r="F13" s="7" t="s">
        <v>37</v>
      </c>
    </row>
    <row r="14" spans="2:6" x14ac:dyDescent="0.3">
      <c r="B14" s="75"/>
      <c r="C14" s="78" t="s">
        <v>38</v>
      </c>
      <c r="D14" s="6" t="s">
        <v>38</v>
      </c>
      <c r="E14" s="6" t="s">
        <v>38</v>
      </c>
      <c r="F14" s="78" t="s">
        <v>39</v>
      </c>
    </row>
    <row r="15" spans="2:6" x14ac:dyDescent="0.3">
      <c r="B15" s="75"/>
      <c r="C15" s="75"/>
      <c r="D15" s="6" t="s">
        <v>40</v>
      </c>
      <c r="E15" s="6" t="s">
        <v>40</v>
      </c>
      <c r="F15" s="75"/>
    </row>
    <row r="16" spans="2:6" x14ac:dyDescent="0.3">
      <c r="B16" s="75"/>
      <c r="C16" s="75"/>
      <c r="D16" s="6" t="s">
        <v>42</v>
      </c>
      <c r="E16" s="6" t="s">
        <v>41</v>
      </c>
      <c r="F16" s="75"/>
    </row>
    <row r="17" spans="2:6" x14ac:dyDescent="0.3">
      <c r="B17" s="75"/>
      <c r="C17" s="75"/>
      <c r="D17" s="6" t="s">
        <v>43</v>
      </c>
      <c r="E17" s="6" t="s">
        <v>43</v>
      </c>
      <c r="F17" s="75"/>
    </row>
    <row r="18" spans="2:6" x14ac:dyDescent="0.3">
      <c r="B18" s="75"/>
      <c r="C18" s="75"/>
      <c r="D18" s="6" t="s">
        <v>44</v>
      </c>
      <c r="E18" s="6" t="s">
        <v>44</v>
      </c>
      <c r="F18" s="75"/>
    </row>
    <row r="19" spans="2:6" x14ac:dyDescent="0.3">
      <c r="B19" s="75"/>
      <c r="C19" s="75"/>
      <c r="D19" s="6" t="s">
        <v>45</v>
      </c>
      <c r="E19" s="6" t="s">
        <v>46</v>
      </c>
      <c r="F19" s="75"/>
    </row>
    <row r="20" spans="2:6" x14ac:dyDescent="0.3">
      <c r="B20" s="75"/>
      <c r="C20" s="75"/>
      <c r="D20" s="6" t="s">
        <v>47</v>
      </c>
      <c r="E20" s="6" t="s">
        <v>47</v>
      </c>
      <c r="F20" s="75"/>
    </row>
    <row r="21" spans="2:6" x14ac:dyDescent="0.3">
      <c r="B21" s="75"/>
      <c r="C21" s="75"/>
      <c r="D21" s="6" t="s">
        <v>48</v>
      </c>
      <c r="E21" s="6" t="s">
        <v>48</v>
      </c>
      <c r="F21" s="75"/>
    </row>
    <row r="22" spans="2:6" x14ac:dyDescent="0.3">
      <c r="B22" s="75"/>
      <c r="C22" s="76"/>
      <c r="D22" s="6" t="s">
        <v>49</v>
      </c>
      <c r="E22" s="6" t="s">
        <v>50</v>
      </c>
      <c r="F22" s="76"/>
    </row>
    <row r="23" spans="2:6" x14ac:dyDescent="0.3">
      <c r="B23" s="75"/>
      <c r="C23" s="78" t="s">
        <v>51</v>
      </c>
      <c r="D23" s="6" t="s">
        <v>51</v>
      </c>
      <c r="E23" s="6" t="s">
        <v>14</v>
      </c>
      <c r="F23" s="78" t="s">
        <v>52</v>
      </c>
    </row>
    <row r="24" spans="2:6" ht="24" x14ac:dyDescent="0.3">
      <c r="B24" s="75"/>
      <c r="C24" s="75"/>
      <c r="D24" s="6" t="s">
        <v>53</v>
      </c>
      <c r="E24" s="6" t="s">
        <v>54</v>
      </c>
      <c r="F24" s="75"/>
    </row>
    <row r="25" spans="2:6" ht="24" x14ac:dyDescent="0.3">
      <c r="B25" s="75"/>
      <c r="C25" s="75"/>
      <c r="D25" s="6" t="s">
        <v>55</v>
      </c>
      <c r="E25" s="6" t="s">
        <v>55</v>
      </c>
      <c r="F25" s="75"/>
    </row>
    <row r="26" spans="2:6" ht="24" x14ac:dyDescent="0.3">
      <c r="B26" s="75"/>
      <c r="C26" s="75"/>
      <c r="D26" s="6" t="s">
        <v>57</v>
      </c>
      <c r="E26" s="6" t="s">
        <v>56</v>
      </c>
      <c r="F26" s="75"/>
    </row>
    <row r="27" spans="2:6" ht="24" x14ac:dyDescent="0.3">
      <c r="B27" s="75"/>
      <c r="C27" s="75"/>
      <c r="D27" s="6" t="s">
        <v>58</v>
      </c>
      <c r="E27" s="6" t="s">
        <v>58</v>
      </c>
      <c r="F27" s="75"/>
    </row>
    <row r="28" spans="2:6" ht="24" x14ac:dyDescent="0.3">
      <c r="B28" s="75"/>
      <c r="C28" s="75"/>
      <c r="D28" s="6" t="s">
        <v>59</v>
      </c>
      <c r="E28" s="6" t="s">
        <v>59</v>
      </c>
      <c r="F28" s="75"/>
    </row>
    <row r="29" spans="2:6" ht="24.75" thickBot="1" x14ac:dyDescent="0.35">
      <c r="B29" s="75"/>
      <c r="C29" s="75"/>
      <c r="D29" s="9" t="s">
        <v>60</v>
      </c>
      <c r="E29" s="9" t="s">
        <v>60</v>
      </c>
      <c r="F29" s="75"/>
    </row>
    <row r="30" spans="2:6" x14ac:dyDescent="0.3">
      <c r="B30" s="85"/>
      <c r="C30" s="94" t="s">
        <v>61</v>
      </c>
      <c r="D30" s="10" t="s">
        <v>62</v>
      </c>
      <c r="E30" s="10" t="s">
        <v>63</v>
      </c>
      <c r="F30" s="96" t="s">
        <v>64</v>
      </c>
    </row>
    <row r="31" spans="2:6" x14ac:dyDescent="0.3">
      <c r="B31" s="85"/>
      <c r="C31" s="95"/>
      <c r="D31" s="11" t="s">
        <v>65</v>
      </c>
      <c r="E31" s="11" t="s">
        <v>65</v>
      </c>
      <c r="F31" s="97"/>
    </row>
    <row r="32" spans="2:6" x14ac:dyDescent="0.3">
      <c r="B32" s="85"/>
      <c r="C32" s="95"/>
      <c r="D32" s="11" t="s">
        <v>66</v>
      </c>
      <c r="E32" s="11" t="s">
        <v>66</v>
      </c>
      <c r="F32" s="97"/>
    </row>
    <row r="33" spans="2:6" x14ac:dyDescent="0.3">
      <c r="B33" s="85"/>
      <c r="C33" s="95"/>
      <c r="D33" s="11" t="s">
        <v>67</v>
      </c>
      <c r="E33" s="11" t="s">
        <v>67</v>
      </c>
      <c r="F33" s="97"/>
    </row>
    <row r="34" spans="2:6" x14ac:dyDescent="0.3">
      <c r="B34" s="85"/>
      <c r="C34" s="95"/>
      <c r="D34" s="11" t="s">
        <v>68</v>
      </c>
      <c r="E34" s="11" t="s">
        <v>69</v>
      </c>
      <c r="F34" s="97"/>
    </row>
    <row r="35" spans="2:6" x14ac:dyDescent="0.3">
      <c r="B35" s="85"/>
      <c r="C35" s="95"/>
      <c r="D35" s="11" t="s">
        <v>70</v>
      </c>
      <c r="E35" s="11" t="s">
        <v>71</v>
      </c>
      <c r="F35" s="97"/>
    </row>
    <row r="36" spans="2:6" x14ac:dyDescent="0.3">
      <c r="B36" s="85"/>
      <c r="C36" s="95"/>
      <c r="D36" s="11" t="s">
        <v>72</v>
      </c>
      <c r="E36" s="11" t="s">
        <v>73</v>
      </c>
      <c r="F36" s="97"/>
    </row>
    <row r="37" spans="2:6" x14ac:dyDescent="0.3">
      <c r="B37" s="85"/>
      <c r="C37" s="95"/>
      <c r="D37" s="11" t="s">
        <v>74</v>
      </c>
      <c r="E37" s="11" t="s">
        <v>74</v>
      </c>
      <c r="F37" s="97"/>
    </row>
    <row r="38" spans="2:6" x14ac:dyDescent="0.3">
      <c r="B38" s="85"/>
      <c r="C38" s="98" t="s">
        <v>16</v>
      </c>
      <c r="D38" s="11" t="s">
        <v>75</v>
      </c>
      <c r="E38" s="11" t="s">
        <v>75</v>
      </c>
      <c r="F38" s="99" t="s">
        <v>76</v>
      </c>
    </row>
    <row r="39" spans="2:6" x14ac:dyDescent="0.3">
      <c r="B39" s="85"/>
      <c r="C39" s="95"/>
      <c r="D39" s="11" t="s">
        <v>77</v>
      </c>
      <c r="E39" s="11" t="s">
        <v>77</v>
      </c>
      <c r="F39" s="97"/>
    </row>
    <row r="40" spans="2:6" x14ac:dyDescent="0.3">
      <c r="B40" s="85"/>
      <c r="C40" s="95"/>
      <c r="D40" s="11" t="s">
        <v>78</v>
      </c>
      <c r="E40" s="11" t="s">
        <v>78</v>
      </c>
      <c r="F40" s="97"/>
    </row>
    <row r="41" spans="2:6" x14ac:dyDescent="0.3">
      <c r="B41" s="85"/>
      <c r="C41" s="95"/>
      <c r="D41" s="11" t="s">
        <v>79</v>
      </c>
      <c r="E41" s="11" t="s">
        <v>79</v>
      </c>
      <c r="F41" s="97"/>
    </row>
    <row r="42" spans="2:6" x14ac:dyDescent="0.3">
      <c r="B42" s="85"/>
      <c r="C42" s="95"/>
      <c r="D42" s="11" t="s">
        <v>80</v>
      </c>
      <c r="E42" s="11" t="s">
        <v>81</v>
      </c>
      <c r="F42" s="97"/>
    </row>
    <row r="43" spans="2:6" x14ac:dyDescent="0.3">
      <c r="B43" s="85"/>
      <c r="C43" s="95"/>
      <c r="D43" s="11" t="s">
        <v>82</v>
      </c>
      <c r="E43" s="11" t="s">
        <v>82</v>
      </c>
      <c r="F43" s="97"/>
    </row>
    <row r="44" spans="2:6" x14ac:dyDescent="0.3">
      <c r="B44" s="85"/>
      <c r="C44" s="95"/>
      <c r="D44" s="11" t="s">
        <v>83</v>
      </c>
      <c r="E44" s="11" t="s">
        <v>83</v>
      </c>
      <c r="F44" s="97"/>
    </row>
    <row r="45" spans="2:6" x14ac:dyDescent="0.3">
      <c r="B45" s="85"/>
      <c r="C45" s="95"/>
      <c r="D45" s="11" t="s">
        <v>84</v>
      </c>
      <c r="E45" s="11" t="s">
        <v>84</v>
      </c>
      <c r="F45" s="97"/>
    </row>
    <row r="46" spans="2:6" x14ac:dyDescent="0.3">
      <c r="B46" s="85"/>
      <c r="C46" s="95"/>
      <c r="D46" s="11" t="s">
        <v>85</v>
      </c>
      <c r="E46" s="11" t="s">
        <v>85</v>
      </c>
      <c r="F46" s="97"/>
    </row>
    <row r="47" spans="2:6" x14ac:dyDescent="0.3">
      <c r="B47" s="85"/>
      <c r="C47" s="95"/>
      <c r="D47" s="11" t="s">
        <v>86</v>
      </c>
      <c r="E47" s="11" t="s">
        <v>86</v>
      </c>
      <c r="F47" s="97"/>
    </row>
    <row r="48" spans="2:6" x14ac:dyDescent="0.3">
      <c r="B48" s="85"/>
      <c r="C48" s="95"/>
      <c r="D48" s="11" t="s">
        <v>87</v>
      </c>
      <c r="E48" s="11" t="s">
        <v>87</v>
      </c>
      <c r="F48" s="97"/>
    </row>
    <row r="49" spans="2:6" x14ac:dyDescent="0.3">
      <c r="B49" s="85"/>
      <c r="C49" s="95"/>
      <c r="D49" s="11" t="s">
        <v>88</v>
      </c>
      <c r="E49" s="11" t="s">
        <v>88</v>
      </c>
      <c r="F49" s="97"/>
    </row>
    <row r="50" spans="2:6" x14ac:dyDescent="0.3">
      <c r="B50" s="85"/>
      <c r="C50" s="95"/>
      <c r="D50" s="11" t="s">
        <v>89</v>
      </c>
      <c r="E50" s="11" t="s">
        <v>89</v>
      </c>
      <c r="F50" s="97"/>
    </row>
    <row r="51" spans="2:6" x14ac:dyDescent="0.3">
      <c r="B51" s="85"/>
      <c r="C51" s="95"/>
      <c r="D51" s="11" t="s">
        <v>90</v>
      </c>
      <c r="E51" s="11" t="s">
        <v>90</v>
      </c>
      <c r="F51" s="97"/>
    </row>
    <row r="52" spans="2:6" x14ac:dyDescent="0.3">
      <c r="B52" s="85"/>
      <c r="C52" s="95"/>
      <c r="D52" s="11" t="s">
        <v>91</v>
      </c>
      <c r="E52" s="11" t="s">
        <v>91</v>
      </c>
      <c r="F52" s="100"/>
    </row>
    <row r="53" spans="2:6" x14ac:dyDescent="0.3">
      <c r="B53" s="85"/>
      <c r="C53" s="88" t="s">
        <v>92</v>
      </c>
      <c r="D53" s="11" t="s">
        <v>92</v>
      </c>
      <c r="E53" s="11" t="s">
        <v>92</v>
      </c>
      <c r="F53" s="86" t="s">
        <v>64</v>
      </c>
    </row>
    <row r="54" spans="2:6" x14ac:dyDescent="0.3">
      <c r="B54" s="85"/>
      <c r="C54" s="89"/>
      <c r="D54" s="12" t="s">
        <v>93</v>
      </c>
      <c r="E54" s="12" t="s">
        <v>93</v>
      </c>
      <c r="F54" s="87"/>
    </row>
    <row r="55" spans="2:6" x14ac:dyDescent="0.3">
      <c r="B55" s="85"/>
      <c r="C55" s="89"/>
      <c r="D55" s="12" t="s">
        <v>94</v>
      </c>
      <c r="E55" s="12" t="s">
        <v>94</v>
      </c>
      <c r="F55" s="87"/>
    </row>
    <row r="56" spans="2:6" x14ac:dyDescent="0.3">
      <c r="B56" s="85"/>
      <c r="C56" s="89"/>
      <c r="D56" s="12" t="s">
        <v>95</v>
      </c>
      <c r="E56" s="12" t="s">
        <v>95</v>
      </c>
      <c r="F56" s="87"/>
    </row>
    <row r="57" spans="2:6" x14ac:dyDescent="0.3">
      <c r="B57" s="85"/>
      <c r="C57" s="89"/>
      <c r="D57" s="12" t="s">
        <v>96</v>
      </c>
      <c r="E57" s="12" t="s">
        <v>96</v>
      </c>
      <c r="F57" s="87"/>
    </row>
    <row r="58" spans="2:6" x14ac:dyDescent="0.3">
      <c r="B58" s="85"/>
      <c r="C58" s="89"/>
      <c r="D58" s="12" t="s">
        <v>97</v>
      </c>
      <c r="E58" s="12" t="s">
        <v>97</v>
      </c>
      <c r="F58" s="87"/>
    </row>
    <row r="59" spans="2:6" x14ac:dyDescent="0.3">
      <c r="B59" s="85"/>
      <c r="C59" s="89"/>
      <c r="D59" s="12" t="s">
        <v>98</v>
      </c>
      <c r="E59" s="12" t="s">
        <v>98</v>
      </c>
      <c r="F59" s="87"/>
    </row>
    <row r="60" spans="2:6" x14ac:dyDescent="0.3">
      <c r="B60" s="85"/>
      <c r="C60" s="89"/>
      <c r="D60" s="13" t="s">
        <v>99</v>
      </c>
      <c r="E60" s="13" t="s">
        <v>99</v>
      </c>
      <c r="F60" s="87"/>
    </row>
    <row r="61" spans="2:6" x14ac:dyDescent="0.3">
      <c r="B61" s="85"/>
      <c r="C61" s="88" t="s">
        <v>100</v>
      </c>
      <c r="D61" s="12" t="s">
        <v>100</v>
      </c>
      <c r="E61" s="12" t="s">
        <v>100</v>
      </c>
      <c r="F61" s="86"/>
    </row>
    <row r="62" spans="2:6" x14ac:dyDescent="0.3">
      <c r="B62" s="85"/>
      <c r="C62" s="89"/>
      <c r="D62" s="12"/>
      <c r="E62" s="12"/>
      <c r="F62" s="87"/>
    </row>
    <row r="63" spans="2:6" x14ac:dyDescent="0.3">
      <c r="B63" s="85"/>
      <c r="C63" s="89"/>
      <c r="D63" s="12"/>
      <c r="E63" s="12"/>
      <c r="F63" s="87"/>
    </row>
    <row r="64" spans="2:6" x14ac:dyDescent="0.3">
      <c r="B64" s="85"/>
      <c r="C64" s="89"/>
      <c r="D64" s="13"/>
      <c r="E64" s="13"/>
      <c r="F64" s="87"/>
    </row>
    <row r="65" spans="2:6" x14ac:dyDescent="0.3">
      <c r="B65" s="85"/>
      <c r="C65" s="88" t="s">
        <v>101</v>
      </c>
      <c r="D65" s="13" t="s">
        <v>101</v>
      </c>
      <c r="E65" s="13" t="s">
        <v>101</v>
      </c>
      <c r="F65" s="86" t="s">
        <v>102</v>
      </c>
    </row>
    <row r="66" spans="2:6" x14ac:dyDescent="0.3">
      <c r="B66" s="85"/>
      <c r="C66" s="89"/>
      <c r="D66" s="13" t="s">
        <v>103</v>
      </c>
      <c r="E66" s="13" t="s">
        <v>103</v>
      </c>
      <c r="F66" s="87"/>
    </row>
    <row r="67" spans="2:6" x14ac:dyDescent="0.3">
      <c r="B67" s="85"/>
      <c r="C67" s="89"/>
      <c r="D67" s="13" t="s">
        <v>104</v>
      </c>
      <c r="E67" s="13" t="s">
        <v>104</v>
      </c>
      <c r="F67" s="87"/>
    </row>
    <row r="68" spans="2:6" x14ac:dyDescent="0.3">
      <c r="B68" s="85"/>
      <c r="C68" s="89"/>
      <c r="D68" s="13" t="s">
        <v>105</v>
      </c>
      <c r="E68" s="13" t="s">
        <v>106</v>
      </c>
      <c r="F68" s="87"/>
    </row>
    <row r="69" spans="2:6" x14ac:dyDescent="0.3">
      <c r="B69" s="85"/>
      <c r="C69" s="90"/>
      <c r="D69" s="12" t="s">
        <v>107</v>
      </c>
      <c r="E69" s="12" t="s">
        <v>107</v>
      </c>
      <c r="F69" s="91"/>
    </row>
    <row r="70" spans="2:6" x14ac:dyDescent="0.3">
      <c r="B70" s="85"/>
      <c r="C70" s="88" t="s">
        <v>108</v>
      </c>
      <c r="D70" s="12" t="s">
        <v>108</v>
      </c>
      <c r="E70" s="12" t="s">
        <v>108</v>
      </c>
      <c r="F70" s="86" t="s">
        <v>109</v>
      </c>
    </row>
    <row r="71" spans="2:6" x14ac:dyDescent="0.3">
      <c r="B71" s="85"/>
      <c r="C71" s="89"/>
      <c r="D71" s="12" t="s">
        <v>110</v>
      </c>
      <c r="E71" s="12" t="s">
        <v>110</v>
      </c>
      <c r="F71" s="87"/>
    </row>
    <row r="72" spans="2:6" ht="17.25" thickBot="1" x14ac:dyDescent="0.35">
      <c r="B72" s="85"/>
      <c r="C72" s="92"/>
      <c r="D72" s="14" t="s">
        <v>111</v>
      </c>
      <c r="E72" s="14" t="s">
        <v>111</v>
      </c>
      <c r="F72" s="93"/>
    </row>
    <row r="73" spans="2:6" x14ac:dyDescent="0.3">
      <c r="B73" s="75"/>
      <c r="C73" s="75" t="s">
        <v>112</v>
      </c>
      <c r="D73" s="15" t="s">
        <v>112</v>
      </c>
      <c r="E73" s="15" t="s">
        <v>112</v>
      </c>
      <c r="F73" s="75" t="s">
        <v>25</v>
      </c>
    </row>
    <row r="74" spans="2:6" x14ac:dyDescent="0.3">
      <c r="B74" s="75"/>
      <c r="C74" s="75"/>
      <c r="D74" s="6" t="s">
        <v>113</v>
      </c>
      <c r="E74" s="6" t="s">
        <v>113</v>
      </c>
      <c r="F74" s="75"/>
    </row>
    <row r="75" spans="2:6" x14ac:dyDescent="0.3">
      <c r="B75" s="75"/>
      <c r="C75" s="75"/>
      <c r="D75" s="6" t="s">
        <v>114</v>
      </c>
      <c r="E75" s="6" t="s">
        <v>114</v>
      </c>
      <c r="F75" s="75"/>
    </row>
    <row r="76" spans="2:6" x14ac:dyDescent="0.3">
      <c r="B76" s="75"/>
      <c r="C76" s="76"/>
      <c r="D76" s="6" t="s">
        <v>115</v>
      </c>
      <c r="E76" s="6" t="s">
        <v>115</v>
      </c>
      <c r="F76" s="76"/>
    </row>
    <row r="77" spans="2:6" x14ac:dyDescent="0.3">
      <c r="B77" s="75"/>
      <c r="C77" s="78" t="s">
        <v>116</v>
      </c>
      <c r="D77" s="6" t="s">
        <v>116</v>
      </c>
      <c r="E77" s="6" t="s">
        <v>116</v>
      </c>
      <c r="F77" s="78" t="s">
        <v>25</v>
      </c>
    </row>
    <row r="78" spans="2:6" x14ac:dyDescent="0.3">
      <c r="B78" s="75"/>
      <c r="C78" s="75"/>
      <c r="D78" s="6" t="s">
        <v>117</v>
      </c>
      <c r="E78" s="6" t="s">
        <v>117</v>
      </c>
      <c r="F78" s="75"/>
    </row>
    <row r="79" spans="2:6" x14ac:dyDescent="0.3">
      <c r="B79" s="75"/>
      <c r="C79" s="75"/>
      <c r="D79" s="6" t="s">
        <v>118</v>
      </c>
      <c r="E79" s="6" t="s">
        <v>118</v>
      </c>
      <c r="F79" s="75"/>
    </row>
    <row r="80" spans="2:6" x14ac:dyDescent="0.3">
      <c r="B80" s="75"/>
      <c r="C80" s="76"/>
      <c r="D80" s="6" t="s">
        <v>119</v>
      </c>
      <c r="E80" s="6" t="s">
        <v>119</v>
      </c>
      <c r="F80" s="76"/>
    </row>
    <row r="81" spans="2:6" x14ac:dyDescent="0.3">
      <c r="B81" s="75"/>
      <c r="C81" s="7" t="s">
        <v>120</v>
      </c>
      <c r="D81" s="16">
        <v>0</v>
      </c>
      <c r="E81" s="16">
        <v>0</v>
      </c>
      <c r="F81" s="7" t="s">
        <v>37</v>
      </c>
    </row>
    <row r="82" spans="2:6" x14ac:dyDescent="0.3">
      <c r="B82" s="75"/>
      <c r="C82" s="7" t="s">
        <v>121</v>
      </c>
      <c r="D82" s="8">
        <v>0</v>
      </c>
      <c r="E82" s="8">
        <v>0</v>
      </c>
      <c r="F82" s="7" t="s">
        <v>37</v>
      </c>
    </row>
    <row r="83" spans="2:6" x14ac:dyDescent="0.3">
      <c r="B83" s="75"/>
      <c r="C83" s="7" t="s">
        <v>122</v>
      </c>
      <c r="D83" s="17">
        <v>0</v>
      </c>
      <c r="E83" s="17">
        <v>0</v>
      </c>
      <c r="F83" s="7" t="s">
        <v>37</v>
      </c>
    </row>
    <row r="84" spans="2:6" x14ac:dyDescent="0.3">
      <c r="B84" s="76"/>
      <c r="C84" s="7" t="s">
        <v>123</v>
      </c>
      <c r="D84" s="18">
        <v>0</v>
      </c>
      <c r="E84" s="18">
        <v>0</v>
      </c>
      <c r="F84" s="7" t="s">
        <v>37</v>
      </c>
    </row>
    <row r="85" spans="2:6" x14ac:dyDescent="0.3">
      <c r="B85" s="79" t="s">
        <v>124</v>
      </c>
      <c r="C85" s="82" t="s">
        <v>125</v>
      </c>
      <c r="D85" s="19" t="s">
        <v>125</v>
      </c>
      <c r="E85" s="19" t="s">
        <v>125</v>
      </c>
      <c r="F85" s="77" t="s">
        <v>102</v>
      </c>
    </row>
    <row r="86" spans="2:6" ht="24" x14ac:dyDescent="0.3">
      <c r="B86" s="80"/>
      <c r="C86" s="83"/>
      <c r="D86" s="20" t="s">
        <v>126</v>
      </c>
      <c r="E86" s="20" t="s">
        <v>127</v>
      </c>
      <c r="F86" s="77"/>
    </row>
    <row r="87" spans="2:6" ht="24" x14ac:dyDescent="0.3">
      <c r="B87" s="80"/>
      <c r="C87" s="83"/>
      <c r="D87" s="20" t="s">
        <v>128</v>
      </c>
      <c r="E87" s="20" t="s">
        <v>129</v>
      </c>
      <c r="F87" s="77"/>
    </row>
    <row r="88" spans="2:6" ht="24" x14ac:dyDescent="0.3">
      <c r="B88" s="80"/>
      <c r="C88" s="83"/>
      <c r="D88" s="20" t="s">
        <v>130</v>
      </c>
      <c r="E88" s="20" t="s">
        <v>131</v>
      </c>
      <c r="F88" s="77"/>
    </row>
    <row r="89" spans="2:6" ht="24" x14ac:dyDescent="0.3">
      <c r="B89" s="80"/>
      <c r="C89" s="84"/>
      <c r="D89" s="20" t="s">
        <v>132</v>
      </c>
      <c r="E89" s="20" t="s">
        <v>133</v>
      </c>
      <c r="F89" s="77"/>
    </row>
    <row r="90" spans="2:6" x14ac:dyDescent="0.3">
      <c r="B90" s="80"/>
      <c r="C90" s="21" t="s">
        <v>134</v>
      </c>
      <c r="D90" s="22">
        <v>1</v>
      </c>
      <c r="E90" s="22">
        <v>1</v>
      </c>
      <c r="F90" s="7" t="s">
        <v>37</v>
      </c>
    </row>
    <row r="91" spans="2:6" x14ac:dyDescent="0.3">
      <c r="B91" s="81"/>
      <c r="C91" s="21" t="s">
        <v>135</v>
      </c>
      <c r="D91" s="22">
        <v>0.95</v>
      </c>
      <c r="E91" s="22">
        <v>0.95</v>
      </c>
      <c r="F91" s="7" t="s">
        <v>37</v>
      </c>
    </row>
    <row r="92" spans="2:6" x14ac:dyDescent="0.3">
      <c r="B92" s="78" t="s">
        <v>136</v>
      </c>
      <c r="C92" s="21" t="s">
        <v>137</v>
      </c>
      <c r="D92" s="23">
        <v>3.6</v>
      </c>
      <c r="E92" s="23">
        <v>3.6</v>
      </c>
      <c r="F92" s="7" t="s">
        <v>37</v>
      </c>
    </row>
    <row r="93" spans="2:6" x14ac:dyDescent="0.3">
      <c r="B93" s="76"/>
      <c r="C93" s="21" t="s">
        <v>138</v>
      </c>
      <c r="D93" s="23">
        <v>2.75</v>
      </c>
      <c r="E93" s="23">
        <v>2.75</v>
      </c>
      <c r="F93" s="7" t="s">
        <v>37</v>
      </c>
    </row>
    <row r="94" spans="2:6" ht="24" x14ac:dyDescent="0.3">
      <c r="B94" s="77" t="s">
        <v>139</v>
      </c>
      <c r="C94" s="24" t="s">
        <v>140</v>
      </c>
      <c r="D94" s="25">
        <v>0</v>
      </c>
      <c r="E94" s="25">
        <v>0</v>
      </c>
      <c r="F94" s="7" t="s">
        <v>37</v>
      </c>
    </row>
    <row r="95" spans="2:6" ht="24" x14ac:dyDescent="0.3">
      <c r="B95" s="77"/>
      <c r="C95" s="24" t="s">
        <v>141</v>
      </c>
      <c r="D95" s="26">
        <v>0</v>
      </c>
      <c r="E95" s="26">
        <v>0</v>
      </c>
      <c r="F95" s="7" t="s">
        <v>37</v>
      </c>
    </row>
  </sheetData>
  <mergeCells count="30">
    <mergeCell ref="C23:C29"/>
    <mergeCell ref="F23:F29"/>
    <mergeCell ref="C30:C37"/>
    <mergeCell ref="F30:F37"/>
    <mergeCell ref="C38:C52"/>
    <mergeCell ref="F38:F52"/>
    <mergeCell ref="F53:F60"/>
    <mergeCell ref="C65:C69"/>
    <mergeCell ref="F65:F69"/>
    <mergeCell ref="C70:C72"/>
    <mergeCell ref="F70:F72"/>
    <mergeCell ref="C61:C64"/>
    <mergeCell ref="F61:F64"/>
    <mergeCell ref="C53:C60"/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0"/>
  <sheetViews>
    <sheetView zoomScale="85" zoomScaleNormal="85" workbookViewId="0">
      <selection activeCell="I10" sqref="I10"/>
    </sheetView>
  </sheetViews>
  <sheetFormatPr defaultRowHeight="16.5" x14ac:dyDescent="0.3"/>
  <cols>
    <col min="1" max="1" width="29.25" bestFit="1" customWidth="1"/>
    <col min="2" max="2" width="29" customWidth="1"/>
    <col min="3" max="3" width="7.625" bestFit="1" customWidth="1"/>
    <col min="4" max="5" width="7.625" customWidth="1"/>
    <col min="6" max="6" width="9.625" customWidth="1"/>
    <col min="7" max="7" width="9.625" bestFit="1" customWidth="1"/>
  </cols>
  <sheetData>
    <row r="1" spans="1:10" x14ac:dyDescent="0.3">
      <c r="A1" s="54" t="s">
        <v>411</v>
      </c>
    </row>
    <row r="2" spans="1:10" x14ac:dyDescent="0.3">
      <c r="A2" s="56"/>
      <c r="B2" s="56" t="s">
        <v>412</v>
      </c>
      <c r="C2" s="56" t="s">
        <v>419</v>
      </c>
      <c r="D2" s="56" t="s">
        <v>424</v>
      </c>
      <c r="E2" s="73" t="s">
        <v>422</v>
      </c>
      <c r="F2" s="73" t="s">
        <v>444</v>
      </c>
      <c r="G2" s="73" t="s">
        <v>442</v>
      </c>
      <c r="H2" s="72" t="s">
        <v>421</v>
      </c>
      <c r="I2" s="72" t="s">
        <v>437</v>
      </c>
      <c r="J2" s="72" t="s">
        <v>438</v>
      </c>
    </row>
    <row r="3" spans="1:10" x14ac:dyDescent="0.3">
      <c r="A3" t="s">
        <v>434</v>
      </c>
      <c r="B3" t="s">
        <v>415</v>
      </c>
      <c r="C3" t="b">
        <v>1</v>
      </c>
      <c r="D3" t="b">
        <v>0</v>
      </c>
      <c r="I3">
        <v>18</v>
      </c>
      <c r="J3">
        <v>22</v>
      </c>
    </row>
    <row r="4" spans="1:10" x14ac:dyDescent="0.3">
      <c r="A4" t="s">
        <v>435</v>
      </c>
      <c r="B4" t="s">
        <v>417</v>
      </c>
      <c r="C4" t="b">
        <v>1</v>
      </c>
      <c r="D4" t="b">
        <v>0</v>
      </c>
      <c r="I4">
        <v>24</v>
      </c>
      <c r="J4">
        <v>28</v>
      </c>
    </row>
    <row r="5" spans="1:10" x14ac:dyDescent="0.3">
      <c r="A5" t="s">
        <v>436</v>
      </c>
      <c r="B5" t="s">
        <v>416</v>
      </c>
      <c r="C5" t="b">
        <v>1</v>
      </c>
      <c r="D5" t="b">
        <v>0</v>
      </c>
      <c r="I5">
        <v>300</v>
      </c>
      <c r="J5">
        <v>600</v>
      </c>
    </row>
    <row r="6" spans="1:10" x14ac:dyDescent="0.3">
      <c r="A6" t="s">
        <v>413</v>
      </c>
      <c r="B6" t="s">
        <v>418</v>
      </c>
      <c r="C6" t="b">
        <v>1</v>
      </c>
      <c r="D6" t="b">
        <v>0</v>
      </c>
    </row>
    <row r="8" spans="1:10" x14ac:dyDescent="0.3">
      <c r="A8" s="54" t="s">
        <v>445</v>
      </c>
    </row>
    <row r="9" spans="1:10" x14ac:dyDescent="0.3">
      <c r="A9" s="56"/>
      <c r="B9" s="56" t="s">
        <v>412</v>
      </c>
      <c r="C9" s="56" t="s">
        <v>420</v>
      </c>
      <c r="D9" s="56" t="s">
        <v>425</v>
      </c>
      <c r="E9" s="73" t="s">
        <v>423</v>
      </c>
      <c r="F9" s="73" t="s">
        <v>443</v>
      </c>
      <c r="G9" s="73" t="s">
        <v>441</v>
      </c>
      <c r="H9" s="72" t="s">
        <v>414</v>
      </c>
      <c r="I9" s="72" t="s">
        <v>439</v>
      </c>
      <c r="J9" s="72" t="s">
        <v>440</v>
      </c>
    </row>
    <row r="10" spans="1:10" x14ac:dyDescent="0.3">
      <c r="A10" t="s">
        <v>429</v>
      </c>
      <c r="B10" t="s">
        <v>426</v>
      </c>
      <c r="C10" t="b">
        <v>1</v>
      </c>
      <c r="D10" t="b">
        <v>0</v>
      </c>
      <c r="H10" s="71">
        <v>155</v>
      </c>
      <c r="I10">
        <v>100</v>
      </c>
      <c r="J10">
        <v>300</v>
      </c>
    </row>
    <row r="11" spans="1:10" x14ac:dyDescent="0.3">
      <c r="A11" t="s">
        <v>430</v>
      </c>
      <c r="B11" t="s">
        <v>427</v>
      </c>
      <c r="C11" t="b">
        <v>0</v>
      </c>
      <c r="D11" t="b">
        <v>0</v>
      </c>
      <c r="H11">
        <v>2.9000000000000001E-2</v>
      </c>
    </row>
    <row r="12" spans="1:10" x14ac:dyDescent="0.3">
      <c r="A12" t="s">
        <v>431</v>
      </c>
      <c r="B12" t="s">
        <v>428</v>
      </c>
      <c r="C12" t="b">
        <v>0</v>
      </c>
      <c r="D12" t="b">
        <v>0</v>
      </c>
      <c r="H12">
        <v>25</v>
      </c>
    </row>
    <row r="13" spans="1:10" x14ac:dyDescent="0.3">
      <c r="A13" t="s">
        <v>432</v>
      </c>
      <c r="B13" t="s">
        <v>433</v>
      </c>
      <c r="C13" t="b">
        <v>0</v>
      </c>
      <c r="D13" t="b">
        <v>0</v>
      </c>
      <c r="H13">
        <v>1500</v>
      </c>
    </row>
    <row r="15" spans="1:10" x14ac:dyDescent="0.3">
      <c r="A15" s="54" t="s">
        <v>446</v>
      </c>
    </row>
    <row r="16" spans="1:10" x14ac:dyDescent="0.3">
      <c r="A16" s="56"/>
      <c r="B16" s="56" t="s">
        <v>412</v>
      </c>
      <c r="C16" s="56" t="s">
        <v>420</v>
      </c>
      <c r="D16" s="56" t="s">
        <v>425</v>
      </c>
      <c r="E16" s="73" t="s">
        <v>423</v>
      </c>
      <c r="F16" s="73" t="s">
        <v>443</v>
      </c>
      <c r="G16" s="73" t="s">
        <v>441</v>
      </c>
      <c r="H16" s="72" t="s">
        <v>414</v>
      </c>
      <c r="I16" s="72" t="s">
        <v>439</v>
      </c>
      <c r="J16" s="72" t="s">
        <v>440</v>
      </c>
    </row>
    <row r="17" spans="1:10" x14ac:dyDescent="0.3">
      <c r="A17" t="s">
        <v>429</v>
      </c>
      <c r="B17" t="s">
        <v>447</v>
      </c>
      <c r="C17" t="b">
        <v>1</v>
      </c>
      <c r="D17" t="b">
        <v>0</v>
      </c>
      <c r="H17" s="71">
        <v>155</v>
      </c>
      <c r="I17">
        <v>100</v>
      </c>
      <c r="J17">
        <v>300</v>
      </c>
    </row>
    <row r="18" spans="1:10" x14ac:dyDescent="0.3">
      <c r="A18" t="s">
        <v>430</v>
      </c>
      <c r="B18" t="s">
        <v>448</v>
      </c>
      <c r="C18" t="b">
        <v>0</v>
      </c>
      <c r="D18" t="b">
        <v>0</v>
      </c>
      <c r="H18">
        <v>2.9000000000000001E-2</v>
      </c>
    </row>
    <row r="19" spans="1:10" x14ac:dyDescent="0.3">
      <c r="A19" t="s">
        <v>431</v>
      </c>
      <c r="B19" t="s">
        <v>449</v>
      </c>
      <c r="C19" t="b">
        <v>0</v>
      </c>
      <c r="D19" t="b">
        <v>0</v>
      </c>
      <c r="H19">
        <v>25</v>
      </c>
    </row>
    <row r="20" spans="1:10" x14ac:dyDescent="0.3">
      <c r="A20" t="s">
        <v>432</v>
      </c>
      <c r="B20" t="s">
        <v>450</v>
      </c>
      <c r="C20" t="b">
        <v>0</v>
      </c>
      <c r="D20" t="b">
        <v>0</v>
      </c>
      <c r="H20">
        <v>1500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topLeftCell="B1" zoomScale="85" zoomScaleNormal="85" workbookViewId="0">
      <selection activeCell="B2" sqref="B2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  <col min="8" max="8" width="13.25" customWidth="1"/>
  </cols>
  <sheetData>
    <row r="1" spans="1:8" x14ac:dyDescent="0.3">
      <c r="A1" s="54" t="s">
        <v>182</v>
      </c>
    </row>
    <row r="2" spans="1:8" ht="32.25" customHeight="1" x14ac:dyDescent="0.3">
      <c r="A2" s="56" t="s">
        <v>180</v>
      </c>
      <c r="B2" s="56" t="s">
        <v>183</v>
      </c>
      <c r="C2" s="56" t="s">
        <v>199</v>
      </c>
      <c r="D2" s="56" t="s">
        <v>200</v>
      </c>
      <c r="E2" s="56" t="s">
        <v>201</v>
      </c>
      <c r="F2" s="56" t="s">
        <v>198</v>
      </c>
      <c r="G2" s="56" t="s">
        <v>197</v>
      </c>
      <c r="H2" s="56" t="s">
        <v>410</v>
      </c>
    </row>
    <row r="3" spans="1:8" x14ac:dyDescent="0.3">
      <c r="A3" s="59">
        <v>1</v>
      </c>
      <c r="B3" s="59" t="s">
        <v>380</v>
      </c>
      <c r="C3" s="59">
        <v>2.7E-2</v>
      </c>
      <c r="D3" s="59">
        <v>35</v>
      </c>
      <c r="E3" s="66">
        <v>1500</v>
      </c>
      <c r="F3" s="59" t="s">
        <v>228</v>
      </c>
      <c r="G3" s="59" t="s">
        <v>196</v>
      </c>
      <c r="H3">
        <v>10</v>
      </c>
    </row>
    <row r="4" spans="1:8" x14ac:dyDescent="0.3">
      <c r="A4" s="55"/>
      <c r="B4" s="65" t="s">
        <v>381</v>
      </c>
      <c r="C4" s="58">
        <v>2.8000000000000001E-2</v>
      </c>
      <c r="D4" s="58">
        <v>30</v>
      </c>
      <c r="E4" s="67">
        <v>1500</v>
      </c>
      <c r="F4" s="58" t="s">
        <v>228</v>
      </c>
      <c r="G4" s="65" t="s">
        <v>196</v>
      </c>
      <c r="H4">
        <v>20</v>
      </c>
    </row>
    <row r="5" spans="1:8" x14ac:dyDescent="0.3">
      <c r="A5" s="55"/>
      <c r="B5" s="65" t="s">
        <v>382</v>
      </c>
      <c r="C5" s="58">
        <v>2.9000000000000001E-2</v>
      </c>
      <c r="D5" s="58">
        <v>25</v>
      </c>
      <c r="E5" s="67">
        <v>1500</v>
      </c>
      <c r="F5" s="58" t="s">
        <v>228</v>
      </c>
      <c r="G5" s="65" t="s">
        <v>196</v>
      </c>
      <c r="H5">
        <v>30</v>
      </c>
    </row>
    <row r="6" spans="1:8" x14ac:dyDescent="0.3">
      <c r="A6" s="55"/>
      <c r="B6" s="65" t="s">
        <v>383</v>
      </c>
      <c r="C6" s="58">
        <v>3.1E-2</v>
      </c>
      <c r="D6" s="58">
        <v>20</v>
      </c>
      <c r="E6" s="67">
        <v>1500</v>
      </c>
      <c r="F6" s="58" t="s">
        <v>228</v>
      </c>
      <c r="G6" s="65" t="s">
        <v>196</v>
      </c>
      <c r="H6">
        <v>40</v>
      </c>
    </row>
    <row r="7" spans="1:8" x14ac:dyDescent="0.3">
      <c r="A7" s="59">
        <v>2</v>
      </c>
      <c r="B7" s="59" t="s">
        <v>384</v>
      </c>
      <c r="C7" s="60">
        <v>3.5999999999999997E-2</v>
      </c>
      <c r="D7" s="60">
        <v>30</v>
      </c>
      <c r="E7" s="60">
        <v>1500</v>
      </c>
      <c r="F7" s="60" t="s">
        <v>228</v>
      </c>
      <c r="G7" s="59" t="s">
        <v>206</v>
      </c>
      <c r="H7">
        <v>50</v>
      </c>
    </row>
    <row r="8" spans="1:8" x14ac:dyDescent="0.3">
      <c r="A8" s="55"/>
      <c r="B8" s="55" t="s">
        <v>385</v>
      </c>
      <c r="C8" s="58">
        <v>3.6999999999999998E-2</v>
      </c>
      <c r="D8" s="58">
        <v>25</v>
      </c>
      <c r="E8" s="58">
        <v>1500</v>
      </c>
      <c r="F8" s="58" t="s">
        <v>228</v>
      </c>
      <c r="G8" s="65" t="s">
        <v>206</v>
      </c>
      <c r="H8">
        <v>60</v>
      </c>
    </row>
    <row r="9" spans="1:8" x14ac:dyDescent="0.3">
      <c r="A9" s="58"/>
      <c r="B9" s="55" t="s">
        <v>386</v>
      </c>
      <c r="C9" s="58">
        <v>0.04</v>
      </c>
      <c r="D9" s="58">
        <v>20</v>
      </c>
      <c r="E9" s="58">
        <v>1500</v>
      </c>
      <c r="F9" s="58" t="s">
        <v>228</v>
      </c>
      <c r="G9" s="65" t="s">
        <v>206</v>
      </c>
      <c r="H9">
        <v>70</v>
      </c>
    </row>
    <row r="10" spans="1:8" x14ac:dyDescent="0.3">
      <c r="A10" s="58"/>
      <c r="B10" s="55" t="s">
        <v>387</v>
      </c>
      <c r="C10" s="58">
        <v>4.2999999999999997E-2</v>
      </c>
      <c r="D10" s="58">
        <v>15</v>
      </c>
      <c r="E10" s="58">
        <v>1500</v>
      </c>
      <c r="F10" s="58" t="s">
        <v>228</v>
      </c>
      <c r="G10" s="65" t="s">
        <v>206</v>
      </c>
      <c r="H10">
        <v>80</v>
      </c>
    </row>
    <row r="11" spans="1:8" x14ac:dyDescent="0.3">
      <c r="A11" s="60">
        <v>3</v>
      </c>
      <c r="B11" s="59" t="s">
        <v>388</v>
      </c>
      <c r="C11" s="60">
        <v>3.1E-2</v>
      </c>
      <c r="D11" s="60">
        <v>30</v>
      </c>
      <c r="E11" s="60">
        <v>1500</v>
      </c>
      <c r="F11" s="60" t="s">
        <v>228</v>
      </c>
      <c r="G11" s="60" t="s">
        <v>224</v>
      </c>
      <c r="H11">
        <v>90</v>
      </c>
    </row>
    <row r="12" spans="1:8" x14ac:dyDescent="0.3">
      <c r="A12" s="58"/>
      <c r="B12" s="55" t="s">
        <v>389</v>
      </c>
      <c r="C12" s="58">
        <v>3.2000000000000001E-2</v>
      </c>
      <c r="D12" s="58">
        <v>25</v>
      </c>
      <c r="E12" s="58">
        <v>1500</v>
      </c>
      <c r="F12" s="58" t="s">
        <v>228</v>
      </c>
      <c r="G12" s="65" t="s">
        <v>196</v>
      </c>
      <c r="H12">
        <v>100</v>
      </c>
    </row>
    <row r="13" spans="1:8" x14ac:dyDescent="0.3">
      <c r="A13" s="58"/>
      <c r="B13" s="55" t="s">
        <v>390</v>
      </c>
      <c r="C13" s="58">
        <v>3.3000000000000002E-2</v>
      </c>
      <c r="D13" s="58">
        <v>20</v>
      </c>
      <c r="E13" s="58">
        <v>1500</v>
      </c>
      <c r="F13" s="58" t="s">
        <v>228</v>
      </c>
      <c r="G13" s="65" t="s">
        <v>196</v>
      </c>
      <c r="H13">
        <v>110</v>
      </c>
    </row>
    <row r="14" spans="1:8" x14ac:dyDescent="0.3">
      <c r="A14" s="58"/>
      <c r="B14" s="55" t="s">
        <v>391</v>
      </c>
      <c r="C14" s="58">
        <v>3.4000000000000002E-2</v>
      </c>
      <c r="D14" s="58">
        <v>15</v>
      </c>
      <c r="E14" s="58">
        <v>1500</v>
      </c>
      <c r="F14" s="58" t="s">
        <v>228</v>
      </c>
      <c r="G14" s="65" t="s">
        <v>196</v>
      </c>
      <c r="H14">
        <v>120</v>
      </c>
    </row>
    <row r="15" spans="1:8" x14ac:dyDescent="0.3">
      <c r="A15" s="60">
        <v>4</v>
      </c>
      <c r="B15" s="59" t="s">
        <v>392</v>
      </c>
      <c r="C15" s="60">
        <v>2.4E-2</v>
      </c>
      <c r="D15" s="60">
        <v>45</v>
      </c>
      <c r="E15" s="68">
        <v>1500</v>
      </c>
      <c r="F15" s="60" t="s">
        <v>233</v>
      </c>
      <c r="G15" s="60" t="s">
        <v>225</v>
      </c>
      <c r="H15">
        <v>130</v>
      </c>
    </row>
    <row r="16" spans="1:8" x14ac:dyDescent="0.3">
      <c r="A16" s="58"/>
      <c r="B16" s="55" t="s">
        <v>393</v>
      </c>
      <c r="C16" s="58">
        <v>2.4E-2</v>
      </c>
      <c r="D16" s="58">
        <v>35</v>
      </c>
      <c r="E16" s="69">
        <v>1500</v>
      </c>
      <c r="F16" s="58" t="s">
        <v>233</v>
      </c>
      <c r="G16" s="65" t="s">
        <v>196</v>
      </c>
      <c r="H16">
        <v>140</v>
      </c>
    </row>
    <row r="17" spans="1:8" x14ac:dyDescent="0.3">
      <c r="A17" s="58"/>
      <c r="B17" s="55" t="s">
        <v>394</v>
      </c>
      <c r="C17" s="58">
        <v>2.5000000000000001E-2</v>
      </c>
      <c r="D17" s="58">
        <v>25</v>
      </c>
      <c r="E17" s="69">
        <v>1500</v>
      </c>
      <c r="F17" s="58" t="s">
        <v>233</v>
      </c>
      <c r="G17" s="65" t="s">
        <v>196</v>
      </c>
      <c r="H17">
        <v>150</v>
      </c>
    </row>
    <row r="18" spans="1:8" x14ac:dyDescent="0.3">
      <c r="A18" s="60">
        <v>5</v>
      </c>
      <c r="B18" s="59" t="s">
        <v>395</v>
      </c>
      <c r="C18" s="60">
        <v>2.3E-2</v>
      </c>
      <c r="D18" s="60">
        <v>45</v>
      </c>
      <c r="E18" s="68">
        <v>1500</v>
      </c>
      <c r="F18" s="60" t="s">
        <v>233</v>
      </c>
      <c r="G18" s="60" t="s">
        <v>225</v>
      </c>
      <c r="H18">
        <v>160</v>
      </c>
    </row>
    <row r="19" spans="1:8" x14ac:dyDescent="0.3">
      <c r="A19" s="58"/>
      <c r="B19" s="55" t="s">
        <v>396</v>
      </c>
      <c r="C19" s="58">
        <v>2.3E-2</v>
      </c>
      <c r="D19" s="58">
        <v>35</v>
      </c>
      <c r="E19" s="69">
        <v>1500</v>
      </c>
      <c r="F19" s="58" t="s">
        <v>233</v>
      </c>
      <c r="G19" s="65" t="s">
        <v>196</v>
      </c>
      <c r="H19">
        <v>170</v>
      </c>
    </row>
    <row r="20" spans="1:8" x14ac:dyDescent="0.3">
      <c r="A20" s="58"/>
      <c r="B20" s="55" t="s">
        <v>397</v>
      </c>
      <c r="C20" s="58">
        <v>2.4E-2</v>
      </c>
      <c r="D20" s="58">
        <v>25</v>
      </c>
      <c r="E20" s="69">
        <v>1500</v>
      </c>
      <c r="F20" s="58" t="s">
        <v>233</v>
      </c>
      <c r="G20" s="65" t="s">
        <v>196</v>
      </c>
      <c r="H20">
        <v>180</v>
      </c>
    </row>
    <row r="21" spans="1:8" x14ac:dyDescent="0.3">
      <c r="A21" s="60">
        <v>6</v>
      </c>
      <c r="B21" s="59" t="s">
        <v>398</v>
      </c>
      <c r="C21" s="60">
        <v>3.7999999999999999E-2</v>
      </c>
      <c r="D21" s="68">
        <v>55</v>
      </c>
      <c r="E21" s="60">
        <v>850</v>
      </c>
      <c r="F21" s="60" t="s">
        <v>234</v>
      </c>
      <c r="G21" s="60" t="s">
        <v>206</v>
      </c>
      <c r="H21">
        <v>190</v>
      </c>
    </row>
    <row r="22" spans="1:8" x14ac:dyDescent="0.3">
      <c r="A22" s="58"/>
      <c r="B22" s="65" t="s">
        <v>399</v>
      </c>
      <c r="C22" s="58">
        <v>3.6999999999999998E-2</v>
      </c>
      <c r="D22" s="69">
        <v>85</v>
      </c>
      <c r="E22" s="58">
        <v>850</v>
      </c>
      <c r="F22" s="58" t="s">
        <v>234</v>
      </c>
      <c r="G22" s="65" t="s">
        <v>206</v>
      </c>
      <c r="H22">
        <v>200</v>
      </c>
    </row>
    <row r="23" spans="1:8" x14ac:dyDescent="0.3">
      <c r="A23" s="58"/>
      <c r="B23" s="65" t="s">
        <v>400</v>
      </c>
      <c r="C23" s="58">
        <v>3.5999999999999997E-2</v>
      </c>
      <c r="D23" s="69">
        <v>130</v>
      </c>
      <c r="E23" s="58">
        <v>850</v>
      </c>
      <c r="F23" s="58" t="s">
        <v>234</v>
      </c>
      <c r="G23" s="65" t="s">
        <v>206</v>
      </c>
      <c r="H23">
        <v>210</v>
      </c>
    </row>
    <row r="24" spans="1:8" x14ac:dyDescent="0.3">
      <c r="A24" s="58"/>
      <c r="B24" s="65" t="s">
        <v>401</v>
      </c>
      <c r="C24" s="58">
        <v>3.7999999999999999E-2</v>
      </c>
      <c r="D24" s="69">
        <v>230</v>
      </c>
      <c r="E24" s="58">
        <v>850</v>
      </c>
      <c r="F24" s="58" t="s">
        <v>234</v>
      </c>
      <c r="G24" s="65" t="s">
        <v>206</v>
      </c>
      <c r="H24">
        <v>220</v>
      </c>
    </row>
    <row r="25" spans="1:8" x14ac:dyDescent="0.3">
      <c r="A25" s="60">
        <v>7</v>
      </c>
      <c r="B25" s="59" t="s">
        <v>402</v>
      </c>
      <c r="C25" s="60">
        <v>3.4000000000000002E-2</v>
      </c>
      <c r="D25" s="60">
        <v>120</v>
      </c>
      <c r="E25" s="60">
        <v>830</v>
      </c>
      <c r="F25" s="60" t="s">
        <v>234</v>
      </c>
      <c r="G25" s="60" t="s">
        <v>225</v>
      </c>
      <c r="H25">
        <v>230</v>
      </c>
    </row>
    <row r="26" spans="1:8" x14ac:dyDescent="0.3">
      <c r="A26" s="58"/>
      <c r="B26" s="65" t="s">
        <v>403</v>
      </c>
      <c r="C26" s="58">
        <v>3.4000000000000002E-2</v>
      </c>
      <c r="D26" s="58">
        <v>96</v>
      </c>
      <c r="E26" s="58">
        <v>830</v>
      </c>
      <c r="F26" s="58" t="s">
        <v>234</v>
      </c>
      <c r="G26" s="65" t="s">
        <v>196</v>
      </c>
      <c r="H26">
        <v>240</v>
      </c>
    </row>
    <row r="27" spans="1:8" x14ac:dyDescent="0.3">
      <c r="A27" s="58"/>
      <c r="B27" s="65" t="s">
        <v>404</v>
      </c>
      <c r="C27" s="58">
        <v>3.4000000000000002E-2</v>
      </c>
      <c r="D27" s="58">
        <v>80</v>
      </c>
      <c r="E27" s="58">
        <v>830</v>
      </c>
      <c r="F27" s="58" t="s">
        <v>234</v>
      </c>
      <c r="G27" s="65" t="s">
        <v>196</v>
      </c>
      <c r="H27">
        <v>250</v>
      </c>
    </row>
    <row r="28" spans="1:8" x14ac:dyDescent="0.3">
      <c r="A28" s="58"/>
      <c r="B28" s="65" t="s">
        <v>405</v>
      </c>
      <c r="C28" s="58">
        <v>3.4000000000000002E-2</v>
      </c>
      <c r="D28" s="58">
        <v>64</v>
      </c>
      <c r="E28" s="58">
        <v>830</v>
      </c>
      <c r="F28" s="58" t="s">
        <v>234</v>
      </c>
      <c r="G28" s="65" t="s">
        <v>196</v>
      </c>
      <c r="H28">
        <v>260</v>
      </c>
    </row>
    <row r="29" spans="1:8" x14ac:dyDescent="0.3">
      <c r="A29" s="58"/>
      <c r="B29" s="65" t="s">
        <v>406</v>
      </c>
      <c r="C29" s="58">
        <v>3.4000000000000002E-2</v>
      </c>
      <c r="D29" s="58">
        <v>48</v>
      </c>
      <c r="E29" s="58">
        <v>830</v>
      </c>
      <c r="F29" s="58" t="s">
        <v>234</v>
      </c>
      <c r="G29" s="65" t="s">
        <v>196</v>
      </c>
      <c r="H29">
        <v>270</v>
      </c>
    </row>
    <row r="30" spans="1:8" x14ac:dyDescent="0.3">
      <c r="A30" s="58"/>
      <c r="B30" s="65" t="s">
        <v>407</v>
      </c>
      <c r="C30" s="58">
        <v>3.5000000000000003E-2</v>
      </c>
      <c r="D30" s="58">
        <v>40</v>
      </c>
      <c r="E30" s="58">
        <v>830</v>
      </c>
      <c r="F30" s="58" t="s">
        <v>234</v>
      </c>
      <c r="G30" s="58" t="s">
        <v>226</v>
      </c>
      <c r="H30">
        <v>280</v>
      </c>
    </row>
    <row r="31" spans="1:8" x14ac:dyDescent="0.3">
      <c r="A31" s="58"/>
      <c r="B31" s="65" t="s">
        <v>408</v>
      </c>
      <c r="C31" s="58">
        <v>3.6999999999999998E-2</v>
      </c>
      <c r="D31" s="58">
        <v>32</v>
      </c>
      <c r="E31" s="58">
        <v>830</v>
      </c>
      <c r="F31" s="58" t="s">
        <v>234</v>
      </c>
      <c r="G31" s="70" t="s">
        <v>206</v>
      </c>
      <c r="H31">
        <v>290</v>
      </c>
    </row>
    <row r="32" spans="1:8" x14ac:dyDescent="0.3">
      <c r="A32" s="58"/>
      <c r="B32" s="65" t="s">
        <v>409</v>
      </c>
      <c r="C32" s="58">
        <v>3.7999999999999999E-2</v>
      </c>
      <c r="D32" s="58">
        <v>24</v>
      </c>
      <c r="E32" s="58">
        <v>830</v>
      </c>
      <c r="F32" s="58" t="s">
        <v>234</v>
      </c>
      <c r="G32" s="70" t="s">
        <v>206</v>
      </c>
      <c r="H32">
        <v>300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70" zoomScaleNormal="70" workbookViewId="0">
      <selection activeCell="B91" sqref="B91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4" t="s">
        <v>236</v>
      </c>
    </row>
    <row r="2" spans="1:18" ht="45" customHeight="1" x14ac:dyDescent="0.3">
      <c r="A2" s="56" t="s">
        <v>180</v>
      </c>
      <c r="B2" s="56" t="s">
        <v>253</v>
      </c>
      <c r="C2" s="61" t="s">
        <v>372</v>
      </c>
      <c r="D2" s="61" t="s">
        <v>248</v>
      </c>
      <c r="E2" s="61" t="s">
        <v>247</v>
      </c>
      <c r="F2" s="61" t="s">
        <v>245</v>
      </c>
      <c r="G2" s="61" t="s">
        <v>246</v>
      </c>
      <c r="H2" s="61" t="s">
        <v>375</v>
      </c>
      <c r="I2" s="61" t="s">
        <v>249</v>
      </c>
      <c r="J2" s="61" t="s">
        <v>250</v>
      </c>
      <c r="K2" s="61" t="s">
        <v>251</v>
      </c>
      <c r="L2" s="61" t="s">
        <v>237</v>
      </c>
      <c r="M2" s="61" t="s">
        <v>239</v>
      </c>
      <c r="N2" s="61" t="s">
        <v>240</v>
      </c>
      <c r="O2" s="61" t="s">
        <v>252</v>
      </c>
      <c r="P2" s="61" t="s">
        <v>273</v>
      </c>
      <c r="Q2" s="56" t="s">
        <v>241</v>
      </c>
      <c r="R2" s="56" t="s">
        <v>238</v>
      </c>
    </row>
    <row r="3" spans="1:18" x14ac:dyDescent="0.3">
      <c r="A3">
        <v>1</v>
      </c>
      <c r="B3" t="s">
        <v>254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62">
        <v>0.103073</v>
      </c>
      <c r="N3" s="62">
        <v>0.84467800000000004</v>
      </c>
      <c r="O3">
        <v>1</v>
      </c>
      <c r="P3">
        <v>15331050</v>
      </c>
      <c r="Q3" s="57" t="s">
        <v>242</v>
      </c>
      <c r="R3" t="s">
        <v>243</v>
      </c>
    </row>
    <row r="4" spans="1:18" x14ac:dyDescent="0.3">
      <c r="A4">
        <v>2</v>
      </c>
      <c r="B4" t="s">
        <v>255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62">
        <v>0.106545</v>
      </c>
      <c r="N4" s="62">
        <v>0.84458100000000003</v>
      </c>
      <c r="O4">
        <v>1</v>
      </c>
      <c r="P4">
        <v>15265257</v>
      </c>
      <c r="Q4" s="57" t="s">
        <v>242</v>
      </c>
      <c r="R4" t="s">
        <v>243</v>
      </c>
    </row>
    <row r="5" spans="1:18" x14ac:dyDescent="0.3">
      <c r="A5">
        <v>3</v>
      </c>
      <c r="B5" t="s">
        <v>256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62">
        <v>7.3107000000000005E-2</v>
      </c>
      <c r="N5" s="62">
        <v>0.84560100000000005</v>
      </c>
      <c r="O5">
        <v>1</v>
      </c>
      <c r="P5">
        <v>15528172</v>
      </c>
      <c r="Q5" s="57" t="s">
        <v>242</v>
      </c>
      <c r="R5" t="s">
        <v>243</v>
      </c>
    </row>
    <row r="6" spans="1:18" x14ac:dyDescent="0.3">
      <c r="A6">
        <v>4</v>
      </c>
      <c r="B6" t="s">
        <v>257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62">
        <v>7.0472999999999994E-2</v>
      </c>
      <c r="N6" s="62">
        <v>0.84600500000000001</v>
      </c>
      <c r="O6">
        <v>1</v>
      </c>
      <c r="P6">
        <v>15462634</v>
      </c>
      <c r="Q6" s="57" t="s">
        <v>242</v>
      </c>
      <c r="R6" t="s">
        <v>243</v>
      </c>
    </row>
    <row r="7" spans="1:18" x14ac:dyDescent="0.3">
      <c r="A7">
        <v>5</v>
      </c>
      <c r="B7" t="s">
        <v>258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62">
        <v>2.5614000000000001E-2</v>
      </c>
      <c r="N7" s="62">
        <v>0.84505600000000003</v>
      </c>
      <c r="O7">
        <v>1</v>
      </c>
      <c r="P7">
        <v>14148574</v>
      </c>
      <c r="Q7" s="57" t="s">
        <v>242</v>
      </c>
      <c r="R7" t="s">
        <v>243</v>
      </c>
    </row>
    <row r="8" spans="1:18" x14ac:dyDescent="0.3">
      <c r="A8">
        <v>6</v>
      </c>
      <c r="B8" t="s">
        <v>259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62">
        <v>2.5614000000000001E-2</v>
      </c>
      <c r="N8" s="62">
        <v>0.84542600000000001</v>
      </c>
      <c r="O8">
        <v>1</v>
      </c>
      <c r="P8">
        <v>13623772</v>
      </c>
      <c r="Q8" s="57" t="s">
        <v>242</v>
      </c>
      <c r="R8" t="s">
        <v>243</v>
      </c>
    </row>
    <row r="9" spans="1:18" x14ac:dyDescent="0.3">
      <c r="A9">
        <v>7</v>
      </c>
      <c r="B9" t="s">
        <v>260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62">
        <v>9.7212999999999994E-2</v>
      </c>
      <c r="N9" s="62">
        <v>0.84510399999999997</v>
      </c>
      <c r="O9">
        <v>1</v>
      </c>
      <c r="P9">
        <v>15132895</v>
      </c>
      <c r="Q9" s="57" t="s">
        <v>242</v>
      </c>
      <c r="R9" t="s">
        <v>243</v>
      </c>
    </row>
    <row r="10" spans="1:18" x14ac:dyDescent="0.3">
      <c r="A10">
        <v>8</v>
      </c>
      <c r="B10" t="s">
        <v>261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62">
        <v>9.6337999999999993E-2</v>
      </c>
      <c r="N10" s="62">
        <v>0.84516899999999995</v>
      </c>
      <c r="O10">
        <v>1</v>
      </c>
      <c r="P10">
        <v>15132638</v>
      </c>
      <c r="Q10" s="57" t="s">
        <v>242</v>
      </c>
      <c r="R10" t="s">
        <v>243</v>
      </c>
    </row>
    <row r="11" spans="1:18" x14ac:dyDescent="0.3">
      <c r="A11">
        <v>9</v>
      </c>
      <c r="B11" t="s">
        <v>262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62">
        <v>0.84534699999999996</v>
      </c>
      <c r="N11" s="62">
        <v>3.7488E-2</v>
      </c>
      <c r="O11">
        <v>1</v>
      </c>
      <c r="P11">
        <v>13159618</v>
      </c>
      <c r="Q11" s="57" t="s">
        <v>242</v>
      </c>
      <c r="R11" t="s">
        <v>243</v>
      </c>
    </row>
    <row r="12" spans="1:18" x14ac:dyDescent="0.3">
      <c r="A12">
        <v>10</v>
      </c>
      <c r="B12" t="s">
        <v>263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62">
        <v>0.84515700000000005</v>
      </c>
      <c r="N12" s="62">
        <v>4.2500000000000003E-2</v>
      </c>
      <c r="O12">
        <v>1</v>
      </c>
      <c r="P12">
        <v>12501173</v>
      </c>
      <c r="Q12" s="57" t="s">
        <v>242</v>
      </c>
      <c r="R12" t="s">
        <v>243</v>
      </c>
    </row>
    <row r="13" spans="1:18" x14ac:dyDescent="0.3">
      <c r="A13">
        <v>11</v>
      </c>
      <c r="B13" t="s">
        <v>264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62">
        <v>0.84517500000000001</v>
      </c>
      <c r="N13" s="62">
        <v>3.0463E-2</v>
      </c>
      <c r="O13">
        <v>1</v>
      </c>
      <c r="P13">
        <v>11252651</v>
      </c>
      <c r="Q13" s="57" t="s">
        <v>242</v>
      </c>
      <c r="R13" t="s">
        <v>243</v>
      </c>
    </row>
    <row r="14" spans="1:18" x14ac:dyDescent="0.3">
      <c r="A14">
        <v>12</v>
      </c>
      <c r="B14" t="s">
        <v>265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62">
        <v>0.84590100000000001</v>
      </c>
      <c r="N14" s="62">
        <v>5.4531999999999997E-2</v>
      </c>
      <c r="O14">
        <v>1</v>
      </c>
      <c r="P14">
        <v>11056299</v>
      </c>
      <c r="Q14" s="57" t="s">
        <v>242</v>
      </c>
      <c r="R14" t="s">
        <v>243</v>
      </c>
    </row>
    <row r="15" spans="1:18" x14ac:dyDescent="0.3">
      <c r="A15">
        <v>13</v>
      </c>
      <c r="B15" t="s">
        <v>266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62">
        <v>0.84520099999999998</v>
      </c>
      <c r="N15" s="62">
        <v>3.2468999999999998E-2</v>
      </c>
      <c r="O15">
        <v>1</v>
      </c>
      <c r="P15">
        <v>14016735</v>
      </c>
      <c r="Q15" s="57" t="s">
        <v>242</v>
      </c>
      <c r="R15" t="s">
        <v>243</v>
      </c>
    </row>
    <row r="16" spans="1:18" x14ac:dyDescent="0.3">
      <c r="A16">
        <v>14</v>
      </c>
      <c r="B16" t="s">
        <v>267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62">
        <v>0.84620700000000004</v>
      </c>
      <c r="N16" s="62">
        <v>3.0227E-2</v>
      </c>
      <c r="O16">
        <v>1</v>
      </c>
      <c r="P16">
        <v>14541016</v>
      </c>
      <c r="Q16" s="57" t="s">
        <v>242</v>
      </c>
      <c r="R16" t="s">
        <v>243</v>
      </c>
    </row>
    <row r="17" spans="1:18" x14ac:dyDescent="0.3">
      <c r="A17">
        <v>15</v>
      </c>
      <c r="B17" t="s">
        <v>268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62">
        <v>0.84672199999999997</v>
      </c>
      <c r="N17" s="62">
        <v>2.4898E-2</v>
      </c>
      <c r="O17">
        <v>1</v>
      </c>
      <c r="P17">
        <v>12503225</v>
      </c>
      <c r="Q17" s="57" t="s">
        <v>242</v>
      </c>
      <c r="R17" t="s">
        <v>243</v>
      </c>
    </row>
    <row r="18" spans="1:18" x14ac:dyDescent="0.3">
      <c r="A18">
        <v>16</v>
      </c>
      <c r="B18" t="s">
        <v>269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62">
        <v>0.84557899999999997</v>
      </c>
      <c r="N18" s="62">
        <v>2.3885E-2</v>
      </c>
      <c r="O18">
        <v>1</v>
      </c>
      <c r="P18">
        <v>12172460</v>
      </c>
      <c r="Q18" s="57" t="s">
        <v>242</v>
      </c>
      <c r="R18" t="s">
        <v>243</v>
      </c>
    </row>
    <row r="19" spans="1:18" x14ac:dyDescent="0.3">
      <c r="A19">
        <v>17</v>
      </c>
      <c r="B19" t="s">
        <v>270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62">
        <v>0.84402900000000003</v>
      </c>
      <c r="N19" s="62">
        <v>2.3574999999999999E-2</v>
      </c>
      <c r="O19">
        <v>1</v>
      </c>
      <c r="P19">
        <v>11581086</v>
      </c>
      <c r="Q19" s="57" t="s">
        <v>242</v>
      </c>
      <c r="R19" t="s">
        <v>243</v>
      </c>
    </row>
    <row r="20" spans="1:18" x14ac:dyDescent="0.3">
      <c r="A20">
        <v>18</v>
      </c>
      <c r="B20" t="s">
        <v>271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62">
        <v>0.84684800000000005</v>
      </c>
      <c r="N20" s="62">
        <v>3.7915999999999998E-2</v>
      </c>
      <c r="O20">
        <v>1</v>
      </c>
      <c r="P20">
        <v>10069127</v>
      </c>
      <c r="Q20" s="57" t="s">
        <v>242</v>
      </c>
      <c r="R20" t="s">
        <v>243</v>
      </c>
    </row>
    <row r="21" spans="1:18" x14ac:dyDescent="0.3">
      <c r="A21">
        <v>19</v>
      </c>
      <c r="B21" t="s">
        <v>278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7" t="s">
        <v>244</v>
      </c>
      <c r="R21" t="s">
        <v>274</v>
      </c>
    </row>
    <row r="22" spans="1:18" x14ac:dyDescent="0.3">
      <c r="A22">
        <v>20</v>
      </c>
      <c r="B22" t="s">
        <v>279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7" t="s">
        <v>244</v>
      </c>
      <c r="R22" t="s">
        <v>274</v>
      </c>
    </row>
    <row r="23" spans="1:18" x14ac:dyDescent="0.3">
      <c r="A23">
        <v>21</v>
      </c>
      <c r="B23" t="s">
        <v>280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7" t="s">
        <v>244</v>
      </c>
      <c r="R23" t="s">
        <v>274</v>
      </c>
    </row>
    <row r="24" spans="1:18" x14ac:dyDescent="0.3">
      <c r="A24">
        <v>22</v>
      </c>
      <c r="B24" t="s">
        <v>281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7" t="s">
        <v>244</v>
      </c>
      <c r="R24" t="s">
        <v>274</v>
      </c>
    </row>
    <row r="25" spans="1:18" x14ac:dyDescent="0.3">
      <c r="A25">
        <v>23</v>
      </c>
      <c r="B25" t="s">
        <v>282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7" t="s">
        <v>244</v>
      </c>
      <c r="R25" t="s">
        <v>274</v>
      </c>
    </row>
    <row r="26" spans="1:18" x14ac:dyDescent="0.3">
      <c r="A26">
        <v>24</v>
      </c>
      <c r="B26" t="s">
        <v>283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7" t="s">
        <v>244</v>
      </c>
      <c r="R26" t="s">
        <v>274</v>
      </c>
    </row>
    <row r="27" spans="1:18" x14ac:dyDescent="0.3">
      <c r="A27">
        <v>25</v>
      </c>
      <c r="B27" t="s">
        <v>284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7" t="s">
        <v>244</v>
      </c>
      <c r="R27" t="s">
        <v>274</v>
      </c>
    </row>
    <row r="28" spans="1:18" x14ac:dyDescent="0.3">
      <c r="A28">
        <v>26</v>
      </c>
      <c r="B28" t="s">
        <v>285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7" t="s">
        <v>244</v>
      </c>
      <c r="R28" t="s">
        <v>274</v>
      </c>
    </row>
    <row r="29" spans="1:18" x14ac:dyDescent="0.3">
      <c r="A29">
        <v>27</v>
      </c>
      <c r="B29" t="s">
        <v>286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7" t="s">
        <v>244</v>
      </c>
      <c r="R29" t="s">
        <v>274</v>
      </c>
    </row>
    <row r="30" spans="1:18" x14ac:dyDescent="0.3">
      <c r="A30">
        <v>28</v>
      </c>
      <c r="B30" t="s">
        <v>287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7" t="s">
        <v>244</v>
      </c>
      <c r="R30" t="s">
        <v>274</v>
      </c>
    </row>
    <row r="31" spans="1:18" x14ac:dyDescent="0.3">
      <c r="A31">
        <v>29</v>
      </c>
      <c r="B31" t="s">
        <v>288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7" t="s">
        <v>244</v>
      </c>
      <c r="R31" t="s">
        <v>274</v>
      </c>
    </row>
    <row r="32" spans="1:18" x14ac:dyDescent="0.3">
      <c r="A32">
        <v>30</v>
      </c>
      <c r="B32" t="s">
        <v>289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7" t="s">
        <v>244</v>
      </c>
      <c r="R32" t="s">
        <v>275</v>
      </c>
    </row>
    <row r="33" spans="1:18" x14ac:dyDescent="0.3">
      <c r="A33">
        <v>31</v>
      </c>
      <c r="B33" t="s">
        <v>290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7" t="s">
        <v>244</v>
      </c>
      <c r="R33" t="s">
        <v>275</v>
      </c>
    </row>
    <row r="34" spans="1:18" x14ac:dyDescent="0.3">
      <c r="A34">
        <v>32</v>
      </c>
      <c r="B34" t="s">
        <v>291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7" t="s">
        <v>244</v>
      </c>
      <c r="R34" t="s">
        <v>275</v>
      </c>
    </row>
    <row r="35" spans="1:18" x14ac:dyDescent="0.3">
      <c r="A35">
        <v>33</v>
      </c>
      <c r="B35" t="s">
        <v>292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7" t="s">
        <v>244</v>
      </c>
      <c r="R35" t="s">
        <v>275</v>
      </c>
    </row>
    <row r="36" spans="1:18" x14ac:dyDescent="0.3">
      <c r="A36">
        <v>34</v>
      </c>
      <c r="B36" t="s">
        <v>293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7" t="s">
        <v>244</v>
      </c>
      <c r="R36" t="s">
        <v>275</v>
      </c>
    </row>
    <row r="37" spans="1:18" x14ac:dyDescent="0.3">
      <c r="A37">
        <v>35</v>
      </c>
      <c r="B37" t="s">
        <v>294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7" t="s">
        <v>244</v>
      </c>
      <c r="R37" t="s">
        <v>275</v>
      </c>
    </row>
    <row r="38" spans="1:18" x14ac:dyDescent="0.3">
      <c r="A38">
        <v>36</v>
      </c>
      <c r="B38" t="s">
        <v>295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7" t="s">
        <v>244</v>
      </c>
      <c r="R38" t="s">
        <v>275</v>
      </c>
    </row>
    <row r="39" spans="1:18" x14ac:dyDescent="0.3">
      <c r="A39">
        <v>37</v>
      </c>
      <c r="B39" t="s">
        <v>296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7" t="s">
        <v>244</v>
      </c>
      <c r="R39" t="s">
        <v>275</v>
      </c>
    </row>
    <row r="40" spans="1:18" x14ac:dyDescent="0.3">
      <c r="A40">
        <v>38</v>
      </c>
      <c r="B40" t="s">
        <v>297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7" t="s">
        <v>244</v>
      </c>
      <c r="R40" t="s">
        <v>275</v>
      </c>
    </row>
    <row r="41" spans="1:18" x14ac:dyDescent="0.3">
      <c r="A41">
        <v>39</v>
      </c>
      <c r="B41" t="s">
        <v>298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7" t="s">
        <v>244</v>
      </c>
      <c r="R41" t="s">
        <v>275</v>
      </c>
    </row>
    <row r="42" spans="1:18" x14ac:dyDescent="0.3">
      <c r="A42">
        <v>40</v>
      </c>
      <c r="B42" t="s">
        <v>299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7" t="s">
        <v>244</v>
      </c>
      <c r="R42" t="s">
        <v>275</v>
      </c>
    </row>
    <row r="43" spans="1:18" x14ac:dyDescent="0.3">
      <c r="A43">
        <v>41</v>
      </c>
      <c r="B43" t="s">
        <v>300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7" t="s">
        <v>244</v>
      </c>
      <c r="R43" t="s">
        <v>275</v>
      </c>
    </row>
    <row r="44" spans="1:18" x14ac:dyDescent="0.3">
      <c r="A44">
        <v>42</v>
      </c>
      <c r="B44" t="s">
        <v>301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7" t="s">
        <v>244</v>
      </c>
      <c r="R44" t="s">
        <v>275</v>
      </c>
    </row>
    <row r="45" spans="1:18" x14ac:dyDescent="0.3">
      <c r="A45">
        <v>43</v>
      </c>
      <c r="B45" t="s">
        <v>302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7" t="s">
        <v>244</v>
      </c>
      <c r="R45" t="s">
        <v>275</v>
      </c>
    </row>
    <row r="46" spans="1:18" x14ac:dyDescent="0.3">
      <c r="A46">
        <v>44</v>
      </c>
      <c r="B46" t="s">
        <v>303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7" t="s">
        <v>244</v>
      </c>
      <c r="R46" t="s">
        <v>275</v>
      </c>
    </row>
    <row r="47" spans="1:18" x14ac:dyDescent="0.3">
      <c r="A47">
        <v>45</v>
      </c>
      <c r="B47" t="s">
        <v>304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7" t="s">
        <v>244</v>
      </c>
      <c r="R47" t="s">
        <v>275</v>
      </c>
    </row>
    <row r="48" spans="1:18" x14ac:dyDescent="0.3">
      <c r="A48">
        <v>46</v>
      </c>
      <c r="B48" t="s">
        <v>305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7" t="s">
        <v>244</v>
      </c>
      <c r="R48" t="s">
        <v>276</v>
      </c>
    </row>
    <row r="49" spans="1:18" x14ac:dyDescent="0.3">
      <c r="A49">
        <v>47</v>
      </c>
      <c r="B49" t="s">
        <v>306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7" t="s">
        <v>244</v>
      </c>
      <c r="R49" t="s">
        <v>276</v>
      </c>
    </row>
    <row r="50" spans="1:18" x14ac:dyDescent="0.3">
      <c r="A50">
        <v>48</v>
      </c>
      <c r="B50" t="s">
        <v>307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7" t="s">
        <v>244</v>
      </c>
      <c r="R50" t="s">
        <v>277</v>
      </c>
    </row>
    <row r="52" spans="1:18" x14ac:dyDescent="0.3">
      <c r="A52" s="54" t="s">
        <v>308</v>
      </c>
    </row>
    <row r="53" spans="1:18" ht="63" customHeight="1" x14ac:dyDescent="0.3">
      <c r="A53" s="56" t="s">
        <v>180</v>
      </c>
      <c r="B53" s="56" t="s">
        <v>181</v>
      </c>
      <c r="C53" s="61" t="s">
        <v>309</v>
      </c>
      <c r="D53" s="61" t="s">
        <v>310</v>
      </c>
      <c r="E53" s="61" t="s">
        <v>311</v>
      </c>
      <c r="F53" s="61" t="s">
        <v>313</v>
      </c>
      <c r="G53" s="61" t="s">
        <v>312</v>
      </c>
      <c r="H53" s="61" t="s">
        <v>314</v>
      </c>
      <c r="I53" s="61" t="s">
        <v>315</v>
      </c>
      <c r="J53" s="61" t="s">
        <v>316</v>
      </c>
      <c r="K53" s="61" t="s">
        <v>317</v>
      </c>
      <c r="L53" s="61" t="s">
        <v>318</v>
      </c>
      <c r="M53" s="61" t="s">
        <v>319</v>
      </c>
      <c r="N53" s="61" t="s">
        <v>192</v>
      </c>
    </row>
    <row r="54" spans="1:18" x14ac:dyDescent="0.3">
      <c r="A54">
        <v>1</v>
      </c>
      <c r="B54" t="s">
        <v>320</v>
      </c>
      <c r="C54" s="64">
        <v>2.8730000000000001E-3</v>
      </c>
      <c r="D54" s="64">
        <v>7.7999999999999999E-5</v>
      </c>
      <c r="E54">
        <v>0</v>
      </c>
      <c r="F54" s="64">
        <v>3.9999999999999998E-6</v>
      </c>
      <c r="G54" s="64">
        <v>0</v>
      </c>
      <c r="H54">
        <v>0</v>
      </c>
      <c r="I54" s="64">
        <v>1002.737</v>
      </c>
      <c r="J54" s="64">
        <v>1.2324E-2</v>
      </c>
      <c r="K54" s="64">
        <v>0</v>
      </c>
      <c r="L54" s="64">
        <v>28.969999000000001</v>
      </c>
      <c r="M54">
        <v>101325</v>
      </c>
      <c r="N54" t="s">
        <v>343</v>
      </c>
    </row>
    <row r="55" spans="1:18" x14ac:dyDescent="0.3">
      <c r="A55">
        <v>2</v>
      </c>
      <c r="B55" t="s">
        <v>321</v>
      </c>
      <c r="C55" s="64">
        <v>2.2850000000000001E-3</v>
      </c>
      <c r="D55" s="64">
        <v>5.1E-5</v>
      </c>
      <c r="E55">
        <v>0</v>
      </c>
      <c r="F55" s="64">
        <v>3.0000000000000001E-6</v>
      </c>
      <c r="G55" s="64">
        <v>0</v>
      </c>
      <c r="H55">
        <v>0</v>
      </c>
      <c r="I55" s="64">
        <v>521.92901600000005</v>
      </c>
      <c r="J55" s="64">
        <v>0</v>
      </c>
      <c r="K55" s="64">
        <v>0</v>
      </c>
      <c r="L55" s="64">
        <v>39.948002000000002</v>
      </c>
      <c r="M55">
        <v>101325</v>
      </c>
      <c r="N55" t="s">
        <v>343</v>
      </c>
    </row>
    <row r="56" spans="1:18" x14ac:dyDescent="0.3">
      <c r="A56">
        <v>3</v>
      </c>
      <c r="B56" t="s">
        <v>322</v>
      </c>
      <c r="C56" s="64">
        <v>9.4399999999999996E-4</v>
      </c>
      <c r="D56" s="64">
        <v>2.8E-5</v>
      </c>
      <c r="E56">
        <v>0</v>
      </c>
      <c r="F56" s="64">
        <v>1.9999999999999999E-6</v>
      </c>
      <c r="G56" s="64">
        <v>0</v>
      </c>
      <c r="H56">
        <v>0</v>
      </c>
      <c r="I56" s="64">
        <v>248.091003</v>
      </c>
      <c r="J56" s="64">
        <v>0</v>
      </c>
      <c r="K56" s="64">
        <v>0</v>
      </c>
      <c r="L56" s="64">
        <v>83.800003000000004</v>
      </c>
      <c r="M56">
        <v>101325</v>
      </c>
      <c r="N56" t="s">
        <v>343</v>
      </c>
    </row>
    <row r="57" spans="1:18" x14ac:dyDescent="0.3">
      <c r="A57">
        <v>4</v>
      </c>
      <c r="B57" t="s">
        <v>323</v>
      </c>
      <c r="C57" s="64">
        <v>4.5399999999999998E-4</v>
      </c>
      <c r="D57" s="64">
        <v>1.7E-5</v>
      </c>
      <c r="E57">
        <v>0</v>
      </c>
      <c r="F57" s="64">
        <v>9.9999999999999995E-7</v>
      </c>
      <c r="G57" s="64">
        <v>0</v>
      </c>
      <c r="H57">
        <v>0</v>
      </c>
      <c r="I57" s="64">
        <v>158.33999600000001</v>
      </c>
      <c r="J57" s="64">
        <v>0</v>
      </c>
      <c r="K57" s="64">
        <v>0</v>
      </c>
      <c r="L57" s="64">
        <v>131.300003</v>
      </c>
      <c r="M57">
        <v>101325</v>
      </c>
      <c r="N57" t="s">
        <v>343</v>
      </c>
    </row>
    <row r="58" spans="1:18" x14ac:dyDescent="0.3">
      <c r="A58">
        <v>5</v>
      </c>
      <c r="B58" t="s">
        <v>324</v>
      </c>
      <c r="C58" s="64">
        <v>1.2999999999999999E-2</v>
      </c>
      <c r="D58" s="64">
        <v>0</v>
      </c>
      <c r="E58">
        <v>0</v>
      </c>
      <c r="F58" s="64">
        <v>7.2099999999999996E-4</v>
      </c>
      <c r="G58" s="64">
        <v>4.8999999999999998E-5</v>
      </c>
      <c r="H58">
        <v>0</v>
      </c>
      <c r="I58" s="64">
        <v>0.41860000000000003</v>
      </c>
      <c r="J58" s="64">
        <v>0</v>
      </c>
      <c r="K58" s="64">
        <v>0</v>
      </c>
      <c r="L58" s="64">
        <v>146.10000600000001</v>
      </c>
      <c r="M58">
        <v>101325</v>
      </c>
      <c r="N58" t="s">
        <v>343</v>
      </c>
    </row>
    <row r="59" spans="1:18" x14ac:dyDescent="0.3">
      <c r="A59">
        <v>6</v>
      </c>
      <c r="B59" t="s">
        <v>325</v>
      </c>
      <c r="C59" s="64">
        <v>2.8730000000000001E-3</v>
      </c>
      <c r="D59" s="64">
        <v>7.7999999999999999E-5</v>
      </c>
      <c r="E59">
        <v>0</v>
      </c>
      <c r="F59" s="64">
        <v>3.9999999999999998E-6</v>
      </c>
      <c r="G59" s="64">
        <v>0</v>
      </c>
      <c r="H59">
        <v>0</v>
      </c>
      <c r="I59" s="64">
        <v>1002.737</v>
      </c>
      <c r="J59" s="64">
        <v>1.2324E-2</v>
      </c>
      <c r="K59" s="64">
        <v>0</v>
      </c>
      <c r="L59" s="64">
        <v>28.969999000000001</v>
      </c>
      <c r="M59">
        <v>101325</v>
      </c>
      <c r="N59" t="s">
        <v>343</v>
      </c>
    </row>
    <row r="60" spans="1:18" x14ac:dyDescent="0.3">
      <c r="A60">
        <v>7</v>
      </c>
      <c r="B60" t="s">
        <v>326</v>
      </c>
      <c r="C60" s="64">
        <v>1.2999999999999999E-2</v>
      </c>
      <c r="D60" s="64">
        <v>0</v>
      </c>
      <c r="E60">
        <v>0</v>
      </c>
      <c r="F60" s="64">
        <v>7.2099999999999996E-4</v>
      </c>
      <c r="G60" s="64">
        <v>4.8999999999999998E-5</v>
      </c>
      <c r="H60">
        <v>0</v>
      </c>
      <c r="I60" s="64">
        <v>0.41860000000000003</v>
      </c>
      <c r="J60" s="64">
        <v>0</v>
      </c>
      <c r="K60" s="64">
        <v>0</v>
      </c>
      <c r="L60" s="64">
        <v>146.10000600000001</v>
      </c>
      <c r="M60">
        <v>101325</v>
      </c>
      <c r="N60" t="s">
        <v>343</v>
      </c>
    </row>
    <row r="61" spans="1:18" x14ac:dyDescent="0.3">
      <c r="A61">
        <v>8</v>
      </c>
      <c r="B61" t="s">
        <v>327</v>
      </c>
      <c r="C61" s="64">
        <v>2.8730000000000001E-3</v>
      </c>
      <c r="D61" s="64">
        <v>7.7999999999999999E-5</v>
      </c>
      <c r="E61">
        <v>0</v>
      </c>
      <c r="F61" s="64">
        <v>3.9999999999999998E-6</v>
      </c>
      <c r="G61" s="64">
        <v>0</v>
      </c>
      <c r="H61">
        <v>0</v>
      </c>
      <c r="I61" s="64">
        <v>1002.737</v>
      </c>
      <c r="J61" s="64">
        <v>1.2324E-2</v>
      </c>
      <c r="K61" s="64">
        <v>0</v>
      </c>
      <c r="L61" s="64">
        <v>28.969999000000001</v>
      </c>
      <c r="M61">
        <v>101325</v>
      </c>
      <c r="N61" t="s">
        <v>343</v>
      </c>
    </row>
    <row r="62" spans="1:18" x14ac:dyDescent="0.3">
      <c r="A62">
        <v>9</v>
      </c>
      <c r="B62" t="s">
        <v>328</v>
      </c>
      <c r="C62" s="64">
        <v>2.8730000000000001E-3</v>
      </c>
      <c r="D62" s="64">
        <v>7.7999999999999999E-5</v>
      </c>
      <c r="E62">
        <v>0</v>
      </c>
      <c r="F62" s="64">
        <v>3.9999999999999998E-6</v>
      </c>
      <c r="G62" s="64">
        <v>0</v>
      </c>
      <c r="H62">
        <v>0</v>
      </c>
      <c r="I62" s="64">
        <v>1002.737</v>
      </c>
      <c r="J62" s="64">
        <v>1.2324E-2</v>
      </c>
      <c r="K62" s="64">
        <v>0</v>
      </c>
      <c r="L62" s="64">
        <v>28.969999000000001</v>
      </c>
      <c r="M62">
        <v>0.133322</v>
      </c>
      <c r="N62" t="s">
        <v>343</v>
      </c>
    </row>
    <row r="63" spans="1:18" x14ac:dyDescent="0.3">
      <c r="A63">
        <v>10</v>
      </c>
      <c r="B63" t="s">
        <v>329</v>
      </c>
      <c r="C63" s="64">
        <v>2.284E-3</v>
      </c>
      <c r="D63" s="64">
        <v>8.0000000000000007E-5</v>
      </c>
      <c r="E63">
        <v>0</v>
      </c>
      <c r="F63" s="64">
        <v>3.0000000000000001E-6</v>
      </c>
      <c r="G63" s="64">
        <v>0</v>
      </c>
      <c r="H63">
        <v>0</v>
      </c>
      <c r="I63" s="64">
        <v>1008</v>
      </c>
      <c r="J63" s="64">
        <v>0</v>
      </c>
      <c r="K63" s="64">
        <v>0</v>
      </c>
      <c r="L63" s="64">
        <v>28.969999000000001</v>
      </c>
      <c r="M63">
        <v>101325</v>
      </c>
      <c r="N63" t="s">
        <v>343</v>
      </c>
    </row>
    <row r="64" spans="1:18" x14ac:dyDescent="0.3">
      <c r="A64">
        <v>11</v>
      </c>
      <c r="B64" t="s">
        <v>330</v>
      </c>
      <c r="C64" s="64">
        <v>2.6679999999999998E-3</v>
      </c>
      <c r="D64" s="64">
        <v>5.0000000000000002E-5</v>
      </c>
      <c r="E64">
        <v>0</v>
      </c>
      <c r="F64" s="64">
        <v>3.9999999999999998E-6</v>
      </c>
      <c r="G64" s="64">
        <v>0</v>
      </c>
      <c r="H64">
        <v>0</v>
      </c>
      <c r="I64" s="64">
        <v>519</v>
      </c>
      <c r="J64" s="64">
        <v>0</v>
      </c>
      <c r="K64" s="64">
        <v>0</v>
      </c>
      <c r="L64" s="64">
        <v>39.948002000000002</v>
      </c>
      <c r="M64">
        <v>101325</v>
      </c>
      <c r="N64" t="s">
        <v>343</v>
      </c>
    </row>
    <row r="65" spans="1:14" x14ac:dyDescent="0.3">
      <c r="A65">
        <v>12</v>
      </c>
      <c r="B65" t="s">
        <v>331</v>
      </c>
      <c r="C65" s="64">
        <v>9.9299999999999996E-4</v>
      </c>
      <c r="D65" s="64">
        <v>2.8E-5</v>
      </c>
      <c r="E65">
        <v>0</v>
      </c>
      <c r="F65" s="64">
        <v>3.9999999999999998E-6</v>
      </c>
      <c r="G65" s="64">
        <v>0</v>
      </c>
      <c r="H65">
        <v>0</v>
      </c>
      <c r="I65" s="64">
        <v>245</v>
      </c>
      <c r="J65" s="64">
        <v>0</v>
      </c>
      <c r="K65" s="64">
        <v>0</v>
      </c>
      <c r="L65" s="64">
        <v>83.800003000000004</v>
      </c>
      <c r="M65">
        <v>101325</v>
      </c>
      <c r="N65" t="s">
        <v>343</v>
      </c>
    </row>
    <row r="66" spans="1:14" x14ac:dyDescent="0.3">
      <c r="A66">
        <v>13</v>
      </c>
      <c r="B66" t="s">
        <v>332</v>
      </c>
      <c r="C66" s="64">
        <v>3.8499999999999998E-4</v>
      </c>
      <c r="D66" s="64">
        <v>1.7E-5</v>
      </c>
      <c r="E66">
        <v>0</v>
      </c>
      <c r="F66" s="64">
        <v>9.9999999999999995E-7</v>
      </c>
      <c r="G66" s="64">
        <v>0</v>
      </c>
      <c r="H66">
        <v>0</v>
      </c>
      <c r="I66" s="64">
        <v>161</v>
      </c>
      <c r="J66" s="64">
        <v>0</v>
      </c>
      <c r="K66" s="64">
        <v>0</v>
      </c>
      <c r="L66" s="64">
        <v>131.300003</v>
      </c>
      <c r="M66">
        <v>101325</v>
      </c>
      <c r="N66" t="s">
        <v>343</v>
      </c>
    </row>
    <row r="67" spans="1:14" x14ac:dyDescent="0.3">
      <c r="A67">
        <v>14</v>
      </c>
      <c r="B67" t="s">
        <v>333</v>
      </c>
      <c r="C67" s="64">
        <v>1.2999999999999999E-2</v>
      </c>
      <c r="D67" s="64">
        <v>0</v>
      </c>
      <c r="E67">
        <v>0</v>
      </c>
      <c r="F67" s="64">
        <v>7.2099999999999996E-4</v>
      </c>
      <c r="G67" s="64">
        <v>4.8999999999999998E-5</v>
      </c>
      <c r="H67">
        <v>0</v>
      </c>
      <c r="I67" s="64">
        <v>0.41860000000000003</v>
      </c>
      <c r="J67" s="64">
        <v>0</v>
      </c>
      <c r="K67" s="64">
        <v>0</v>
      </c>
      <c r="L67" s="64">
        <v>146.10000600000001</v>
      </c>
      <c r="M67">
        <v>101325</v>
      </c>
      <c r="N67" t="s">
        <v>343</v>
      </c>
    </row>
    <row r="68" spans="1:14" x14ac:dyDescent="0.3">
      <c r="A68">
        <v>15</v>
      </c>
      <c r="B68" t="s">
        <v>334</v>
      </c>
      <c r="C68" s="64">
        <v>2.8730000000000001E-3</v>
      </c>
      <c r="D68" s="64">
        <v>7.7999999999999999E-5</v>
      </c>
      <c r="E68">
        <v>0</v>
      </c>
      <c r="F68" s="64">
        <v>3.9999999999999998E-6</v>
      </c>
      <c r="G68" s="64">
        <v>0</v>
      </c>
      <c r="H68">
        <v>0</v>
      </c>
      <c r="I68" s="64">
        <v>1002.737</v>
      </c>
      <c r="J68" s="64">
        <v>1.2324E-2</v>
      </c>
      <c r="K68" s="64">
        <v>0</v>
      </c>
      <c r="L68" s="64">
        <v>28.969999000000001</v>
      </c>
      <c r="M68">
        <v>101325</v>
      </c>
      <c r="N68" t="s">
        <v>343</v>
      </c>
    </row>
    <row r="69" spans="1:14" x14ac:dyDescent="0.3">
      <c r="A69">
        <v>16</v>
      </c>
      <c r="B69" t="s">
        <v>335</v>
      </c>
      <c r="C69" s="64">
        <v>1.2999999999999999E-2</v>
      </c>
      <c r="D69" s="64">
        <v>0</v>
      </c>
      <c r="E69">
        <v>0</v>
      </c>
      <c r="F69" s="64">
        <v>7.2099999999999996E-4</v>
      </c>
      <c r="G69" s="64">
        <v>4.8999999999999998E-5</v>
      </c>
      <c r="H69">
        <v>0</v>
      </c>
      <c r="I69" s="64">
        <v>0.41860000000000003</v>
      </c>
      <c r="J69" s="64">
        <v>0</v>
      </c>
      <c r="K69" s="64">
        <v>0</v>
      </c>
      <c r="L69" s="64">
        <v>146.10000600000001</v>
      </c>
      <c r="M69">
        <v>101325</v>
      </c>
      <c r="N69" t="s">
        <v>343</v>
      </c>
    </row>
    <row r="70" spans="1:14" x14ac:dyDescent="0.3">
      <c r="A70">
        <v>17</v>
      </c>
      <c r="B70" t="s">
        <v>336</v>
      </c>
      <c r="C70" s="64">
        <v>2.8730000000000001E-3</v>
      </c>
      <c r="D70" s="64">
        <v>7.7999999999999999E-5</v>
      </c>
      <c r="E70">
        <v>0</v>
      </c>
      <c r="F70" s="64">
        <v>3.9999999999999998E-6</v>
      </c>
      <c r="G70" s="64">
        <v>0</v>
      </c>
      <c r="H70">
        <v>0</v>
      </c>
      <c r="I70" s="64">
        <v>1002.737</v>
      </c>
      <c r="J70" s="64">
        <v>1.2324E-2</v>
      </c>
      <c r="K70" s="64">
        <v>0</v>
      </c>
      <c r="L70" s="64">
        <v>28.969999000000001</v>
      </c>
      <c r="M70">
        <v>101325</v>
      </c>
      <c r="N70" t="s">
        <v>343</v>
      </c>
    </row>
    <row r="71" spans="1:14" x14ac:dyDescent="0.3">
      <c r="A71">
        <v>18</v>
      </c>
      <c r="B71" t="s">
        <v>337</v>
      </c>
      <c r="C71" s="64">
        <v>3.6999999999999999E-4</v>
      </c>
      <c r="D71" s="64">
        <v>3.0000000000000001E-5</v>
      </c>
      <c r="E71">
        <v>0</v>
      </c>
      <c r="F71" s="64">
        <v>-9.9999999999999995E-7</v>
      </c>
      <c r="G71" s="64">
        <v>0</v>
      </c>
      <c r="H71">
        <v>0</v>
      </c>
      <c r="I71" s="64">
        <v>558.84997599999997</v>
      </c>
      <c r="J71" s="64">
        <v>1.0496000000000001</v>
      </c>
      <c r="K71" s="64">
        <v>-2.3900000000000001E-4</v>
      </c>
      <c r="L71" s="64">
        <v>44.009998000000003</v>
      </c>
      <c r="M71">
        <v>101325</v>
      </c>
      <c r="N71" t="s">
        <v>343</v>
      </c>
    </row>
    <row r="72" spans="1:14" x14ac:dyDescent="0.3">
      <c r="A72">
        <v>19</v>
      </c>
      <c r="B72" t="s">
        <v>338</v>
      </c>
      <c r="C72" s="64">
        <v>3.421E-3</v>
      </c>
      <c r="D72" s="64">
        <v>7.4999999999999993E-5</v>
      </c>
      <c r="E72">
        <v>0</v>
      </c>
      <c r="F72" s="64">
        <v>0</v>
      </c>
      <c r="G72" s="64">
        <v>0</v>
      </c>
      <c r="H72">
        <v>0</v>
      </c>
      <c r="I72" s="64">
        <v>1087.400024</v>
      </c>
      <c r="J72" s="64">
        <v>-0.30989</v>
      </c>
      <c r="K72" s="64">
        <v>5.1000000000000004E-4</v>
      </c>
      <c r="L72" s="64">
        <v>28.02</v>
      </c>
      <c r="M72">
        <v>101325</v>
      </c>
      <c r="N72" t="s">
        <v>343</v>
      </c>
    </row>
    <row r="73" spans="1:14" x14ac:dyDescent="0.3">
      <c r="A73">
        <v>20</v>
      </c>
      <c r="B73" t="s">
        <v>339</v>
      </c>
      <c r="C73" s="64">
        <v>1.2999999999999999E-2</v>
      </c>
      <c r="D73" s="64">
        <v>0</v>
      </c>
      <c r="E73">
        <v>0</v>
      </c>
      <c r="F73" s="64">
        <v>9.9999999999999995E-7</v>
      </c>
      <c r="G73" s="64">
        <v>0</v>
      </c>
      <c r="H73">
        <v>0</v>
      </c>
      <c r="I73" s="64">
        <v>418.60000600000001</v>
      </c>
      <c r="J73" s="64">
        <v>0</v>
      </c>
      <c r="K73" s="64">
        <v>0</v>
      </c>
      <c r="L73" s="64">
        <v>146.10000600000001</v>
      </c>
      <c r="M73">
        <v>101325</v>
      </c>
      <c r="N73" t="s">
        <v>343</v>
      </c>
    </row>
    <row r="74" spans="1:14" x14ac:dyDescent="0.3">
      <c r="A74">
        <v>21</v>
      </c>
      <c r="B74" t="s">
        <v>340</v>
      </c>
      <c r="C74" s="64">
        <v>4.5241999999999997E-2</v>
      </c>
      <c r="D74" s="64">
        <v>3.6900000000000002E-4</v>
      </c>
      <c r="E74">
        <v>0</v>
      </c>
      <c r="F74" s="64">
        <v>6.0000000000000002E-6</v>
      </c>
      <c r="G74" s="64">
        <v>0</v>
      </c>
      <c r="H74">
        <v>0</v>
      </c>
      <c r="I74" s="64">
        <v>5196.5</v>
      </c>
      <c r="J74" s="64">
        <v>0</v>
      </c>
      <c r="K74" s="64">
        <v>0</v>
      </c>
      <c r="L74" s="64">
        <v>4</v>
      </c>
      <c r="M74">
        <v>101325</v>
      </c>
      <c r="N74" t="s">
        <v>343</v>
      </c>
    </row>
    <row r="75" spans="1:14" x14ac:dyDescent="0.3">
      <c r="A75">
        <v>22</v>
      </c>
      <c r="B75" t="s">
        <v>341</v>
      </c>
      <c r="C75" s="64">
        <v>1.5667E-2</v>
      </c>
      <c r="D75" s="64">
        <v>1.0900000000000001E-4</v>
      </c>
      <c r="E75">
        <v>0</v>
      </c>
      <c r="F75" s="64">
        <v>1.0000000000000001E-5</v>
      </c>
      <c r="G75" s="64">
        <v>0</v>
      </c>
      <c r="H75">
        <v>0</v>
      </c>
      <c r="I75" s="64">
        <v>1030.400024</v>
      </c>
      <c r="J75" s="64">
        <v>0</v>
      </c>
      <c r="K75" s="64">
        <v>0</v>
      </c>
      <c r="L75" s="64">
        <v>20.18</v>
      </c>
      <c r="M75">
        <v>101325</v>
      </c>
      <c r="N75" t="s">
        <v>343</v>
      </c>
    </row>
    <row r="76" spans="1:14" x14ac:dyDescent="0.3">
      <c r="A76">
        <v>23</v>
      </c>
      <c r="B76" t="s">
        <v>342</v>
      </c>
      <c r="C76" s="64">
        <v>-1.5790000000000001E-3</v>
      </c>
      <c r="D76" s="64">
        <v>1.8E-5</v>
      </c>
      <c r="E76">
        <v>0</v>
      </c>
      <c r="F76" s="64">
        <v>-1.9999999999999999E-6</v>
      </c>
      <c r="G76" s="64">
        <v>0</v>
      </c>
      <c r="H76">
        <v>0</v>
      </c>
      <c r="I76" s="64">
        <v>634.79998799999998</v>
      </c>
      <c r="J76" s="64">
        <v>-0.38704</v>
      </c>
      <c r="K76" s="64">
        <v>3.1220000000000002E-3</v>
      </c>
      <c r="L76" s="64">
        <v>188.01899700000001</v>
      </c>
      <c r="M76">
        <v>101325</v>
      </c>
      <c r="N76" t="s">
        <v>343</v>
      </c>
    </row>
    <row r="78" spans="1:14" x14ac:dyDescent="0.3">
      <c r="A78" s="54" t="s">
        <v>344</v>
      </c>
    </row>
    <row r="79" spans="1:14" ht="54.75" customHeight="1" x14ac:dyDescent="0.3">
      <c r="A79" s="56" t="s">
        <v>180</v>
      </c>
      <c r="B79" s="56" t="s">
        <v>181</v>
      </c>
      <c r="C79" s="61" t="s">
        <v>272</v>
      </c>
      <c r="D79" s="61" t="s">
        <v>373</v>
      </c>
      <c r="E79" s="61" t="s">
        <v>374</v>
      </c>
      <c r="F79" s="61" t="s">
        <v>376</v>
      </c>
      <c r="G79" s="61" t="s">
        <v>377</v>
      </c>
    </row>
    <row r="80" spans="1:14" x14ac:dyDescent="0.3">
      <c r="A80">
        <v>1</v>
      </c>
      <c r="B80" t="s">
        <v>345</v>
      </c>
      <c r="C80" s="63"/>
      <c r="E80" s="63"/>
      <c r="F80" s="63"/>
      <c r="G80" t="s">
        <v>378</v>
      </c>
    </row>
    <row r="81" spans="1:7" x14ac:dyDescent="0.3">
      <c r="A81">
        <v>2</v>
      </c>
      <c r="B81" t="s">
        <v>346</v>
      </c>
      <c r="C81" s="63">
        <v>24</v>
      </c>
      <c r="D81">
        <v>2.6989999999999998</v>
      </c>
      <c r="E81" s="63">
        <v>0.70425199999999999</v>
      </c>
      <c r="F81" s="63">
        <v>0.78610400000000002</v>
      </c>
      <c r="G81" t="s">
        <v>378</v>
      </c>
    </row>
    <row r="82" spans="1:7" x14ac:dyDescent="0.3">
      <c r="A82">
        <v>3</v>
      </c>
      <c r="B82" t="s">
        <v>347</v>
      </c>
      <c r="C82" s="63"/>
      <c r="E82" s="63"/>
      <c r="F82" s="63"/>
      <c r="G82" t="s">
        <v>378</v>
      </c>
    </row>
    <row r="83" spans="1:7" x14ac:dyDescent="0.3">
      <c r="A83">
        <v>4</v>
      </c>
      <c r="B83" t="s">
        <v>348</v>
      </c>
      <c r="C83" s="63">
        <v>18.700001</v>
      </c>
      <c r="D83">
        <v>2.5760000000000001</v>
      </c>
      <c r="E83" s="63">
        <v>0.76385800000000004</v>
      </c>
      <c r="F83" s="63">
        <v>0.81427400000000005</v>
      </c>
      <c r="G83" t="s">
        <v>378</v>
      </c>
    </row>
    <row r="84" spans="1:7" x14ac:dyDescent="0.3">
      <c r="A84">
        <v>5</v>
      </c>
      <c r="B84" t="s">
        <v>349</v>
      </c>
      <c r="C84" s="63">
        <v>43.400002000000001</v>
      </c>
      <c r="D84">
        <v>1.742</v>
      </c>
      <c r="E84" s="63">
        <v>0.61702299999999999</v>
      </c>
      <c r="F84" s="63">
        <v>0.70310700000000004</v>
      </c>
      <c r="G84" t="s">
        <v>378</v>
      </c>
    </row>
    <row r="85" spans="1:7" x14ac:dyDescent="0.3">
      <c r="A85">
        <v>6</v>
      </c>
      <c r="B85" t="s">
        <v>350</v>
      </c>
      <c r="C85" s="63">
        <v>26.51</v>
      </c>
      <c r="D85">
        <v>1.9319999999999999</v>
      </c>
      <c r="E85" s="63">
        <v>0.68613199999999996</v>
      </c>
      <c r="F85" s="63">
        <v>0.74066100000000001</v>
      </c>
      <c r="G85" t="s">
        <v>378</v>
      </c>
    </row>
    <row r="86" spans="1:7" x14ac:dyDescent="0.3">
      <c r="A86">
        <v>7</v>
      </c>
      <c r="B86" t="s">
        <v>351</v>
      </c>
      <c r="C86" s="63">
        <v>26.51</v>
      </c>
      <c r="D86">
        <v>1.9319999999999999</v>
      </c>
      <c r="E86" s="63">
        <v>0.68613199999999996</v>
      </c>
      <c r="F86" s="63">
        <v>0.74066100000000001</v>
      </c>
      <c r="G86" t="s">
        <v>378</v>
      </c>
    </row>
    <row r="87" spans="1:7" x14ac:dyDescent="0.3">
      <c r="A87">
        <v>8</v>
      </c>
      <c r="B87" t="s">
        <v>352</v>
      </c>
      <c r="C87" s="63">
        <v>8.1</v>
      </c>
      <c r="D87">
        <v>0.63400000000000001</v>
      </c>
      <c r="E87" s="63">
        <v>0.354462</v>
      </c>
      <c r="F87" s="63">
        <v>0.69102799999999998</v>
      </c>
      <c r="G87" t="s">
        <v>378</v>
      </c>
    </row>
    <row r="88" spans="1:7" x14ac:dyDescent="0.3">
      <c r="A88">
        <v>9</v>
      </c>
      <c r="B88" t="s">
        <v>353</v>
      </c>
      <c r="C88" s="63">
        <v>21.700001</v>
      </c>
      <c r="D88">
        <v>1.663</v>
      </c>
      <c r="E88" s="63">
        <v>0.36237599999999998</v>
      </c>
      <c r="F88" s="63">
        <v>0.68538500000000002</v>
      </c>
      <c r="G88" t="s">
        <v>378</v>
      </c>
    </row>
    <row r="89" spans="1:7" x14ac:dyDescent="0.3">
      <c r="A89">
        <v>10</v>
      </c>
      <c r="B89" t="s">
        <v>354</v>
      </c>
      <c r="C89" s="63">
        <v>43.400002000000001</v>
      </c>
      <c r="D89">
        <v>0.7</v>
      </c>
      <c r="E89" s="63">
        <v>0.297931</v>
      </c>
      <c r="F89" s="63">
        <v>0.51509400000000005</v>
      </c>
      <c r="G89" t="s">
        <v>378</v>
      </c>
    </row>
    <row r="90" spans="1:7" x14ac:dyDescent="0.3">
      <c r="A90">
        <v>11</v>
      </c>
      <c r="B90" t="s">
        <v>355</v>
      </c>
      <c r="C90" s="63">
        <v>37.476199999999999</v>
      </c>
      <c r="D90">
        <v>1.123</v>
      </c>
      <c r="E90" s="63">
        <v>0.53011200000000003</v>
      </c>
      <c r="F90" s="63">
        <v>0.69405600000000001</v>
      </c>
      <c r="G90" t="s">
        <v>378</v>
      </c>
    </row>
    <row r="91" spans="1:7" x14ac:dyDescent="0.3">
      <c r="A91">
        <v>12</v>
      </c>
      <c r="B91" t="s">
        <v>356</v>
      </c>
      <c r="C91" s="63">
        <v>24.700001</v>
      </c>
      <c r="D91">
        <v>2.6840000000000002</v>
      </c>
      <c r="E91" s="63">
        <v>0.49908799999999998</v>
      </c>
      <c r="F91" s="63">
        <v>0.528281</v>
      </c>
      <c r="G91" t="s">
        <v>378</v>
      </c>
    </row>
    <row r="92" spans="1:7" x14ac:dyDescent="0.3">
      <c r="A92">
        <v>13</v>
      </c>
      <c r="B92" t="s">
        <v>357</v>
      </c>
      <c r="C92" s="63">
        <v>38</v>
      </c>
      <c r="D92">
        <v>1.0920000000000001</v>
      </c>
      <c r="E92" s="63">
        <v>5.3072000000000001E-2</v>
      </c>
      <c r="F92" s="63">
        <v>6.2052999999999997E-2</v>
      </c>
      <c r="G92" t="s">
        <v>378</v>
      </c>
    </row>
    <row r="93" spans="1:7" x14ac:dyDescent="0.3">
      <c r="A93">
        <v>14</v>
      </c>
      <c r="B93" t="s">
        <v>358</v>
      </c>
      <c r="C93" s="63">
        <v>55.360515999999997</v>
      </c>
      <c r="D93">
        <v>1.276</v>
      </c>
      <c r="E93" s="63">
        <v>0.26726</v>
      </c>
      <c r="F93" s="63">
        <v>0.14716000000000001</v>
      </c>
      <c r="G93" t="s">
        <v>378</v>
      </c>
    </row>
    <row r="94" spans="1:7" x14ac:dyDescent="0.3">
      <c r="A94">
        <v>15</v>
      </c>
      <c r="B94" t="s">
        <v>359</v>
      </c>
      <c r="C94" s="63">
        <v>21.724205000000001</v>
      </c>
      <c r="D94">
        <v>3.3730000000000002</v>
      </c>
      <c r="E94" s="63">
        <v>0.29522500000000002</v>
      </c>
      <c r="F94" s="63">
        <v>0.15886900000000001</v>
      </c>
      <c r="G94" t="s">
        <v>378</v>
      </c>
    </row>
    <row r="95" spans="1:7" x14ac:dyDescent="0.3">
      <c r="A95">
        <v>16</v>
      </c>
      <c r="B95" t="s">
        <v>360</v>
      </c>
      <c r="C95" s="63">
        <v>91.281531999999999</v>
      </c>
      <c r="D95">
        <v>1.1000000000000001</v>
      </c>
      <c r="E95" s="63">
        <v>8.2972000000000004E-2</v>
      </c>
      <c r="F95" s="63">
        <v>0.11189</v>
      </c>
      <c r="G95" t="s">
        <v>378</v>
      </c>
    </row>
    <row r="96" spans="1:7" x14ac:dyDescent="0.3">
      <c r="A96">
        <v>17</v>
      </c>
      <c r="B96" t="s">
        <v>361</v>
      </c>
      <c r="C96" s="63">
        <v>113.599991</v>
      </c>
      <c r="D96">
        <v>1.1080000000000001</v>
      </c>
      <c r="E96" s="63">
        <v>0.37693900000000002</v>
      </c>
      <c r="F96" s="63">
        <v>0.61691300000000004</v>
      </c>
      <c r="G96" t="s">
        <v>378</v>
      </c>
    </row>
    <row r="97" spans="1:7" x14ac:dyDescent="0.3">
      <c r="A97">
        <v>18</v>
      </c>
      <c r="B97" t="s">
        <v>362</v>
      </c>
      <c r="C97" s="63">
        <v>38.400002000000001</v>
      </c>
      <c r="D97">
        <v>1.087</v>
      </c>
      <c r="E97" s="63">
        <v>3.5106999999999999E-2</v>
      </c>
      <c r="F97" s="63">
        <v>2.1100000000000001E-2</v>
      </c>
      <c r="G97" t="s">
        <v>378</v>
      </c>
    </row>
    <row r="98" spans="1:7" x14ac:dyDescent="0.3">
      <c r="A98">
        <v>19</v>
      </c>
      <c r="B98" t="s">
        <v>363</v>
      </c>
      <c r="C98" s="63">
        <v>38.400002000000001</v>
      </c>
      <c r="D98">
        <v>1.089</v>
      </c>
      <c r="E98" s="63">
        <v>6.5022999999999997E-2</v>
      </c>
      <c r="F98" s="63">
        <v>7.0184999999999997E-2</v>
      </c>
      <c r="G98" t="s">
        <v>378</v>
      </c>
    </row>
    <row r="99" spans="1:7" x14ac:dyDescent="0.3">
      <c r="A99">
        <v>20</v>
      </c>
      <c r="B99" t="s">
        <v>364</v>
      </c>
      <c r="C99" s="63">
        <v>67.856994999999998</v>
      </c>
      <c r="D99">
        <v>0.996</v>
      </c>
      <c r="E99" s="63">
        <v>0.33338200000000001</v>
      </c>
      <c r="F99" s="63">
        <v>0.10166799999999999</v>
      </c>
      <c r="G99" t="s">
        <v>378</v>
      </c>
    </row>
    <row r="100" spans="1:7" x14ac:dyDescent="0.3">
      <c r="A100">
        <v>21</v>
      </c>
      <c r="B100" t="s">
        <v>365</v>
      </c>
      <c r="C100" s="63">
        <v>24.4</v>
      </c>
      <c r="D100">
        <v>1.8340000000000001</v>
      </c>
      <c r="E100">
        <v>0.27300000000000002</v>
      </c>
      <c r="F100" s="63">
        <v>0.496</v>
      </c>
      <c r="G100" t="s">
        <v>378</v>
      </c>
    </row>
    <row r="101" spans="1:7" x14ac:dyDescent="0.3">
      <c r="A101">
        <v>22</v>
      </c>
      <c r="B101" t="s">
        <v>366</v>
      </c>
      <c r="C101" s="63">
        <v>24.46</v>
      </c>
      <c r="D101">
        <v>1.8340000000000001</v>
      </c>
      <c r="E101">
        <v>0.309</v>
      </c>
      <c r="F101" s="63">
        <v>0.40899999999999997</v>
      </c>
      <c r="G101" t="s">
        <v>378</v>
      </c>
    </row>
    <row r="102" spans="1:7" x14ac:dyDescent="0.3">
      <c r="A102">
        <v>23</v>
      </c>
      <c r="B102" t="s">
        <v>367</v>
      </c>
      <c r="C102" s="63">
        <v>27.7</v>
      </c>
      <c r="D102">
        <v>2.637</v>
      </c>
      <c r="E102">
        <v>0.67700000000000005</v>
      </c>
      <c r="F102" s="63">
        <v>0.17899999999999999</v>
      </c>
      <c r="G102" t="s">
        <v>378</v>
      </c>
    </row>
    <row r="103" spans="1:7" x14ac:dyDescent="0.3">
      <c r="A103">
        <v>24</v>
      </c>
      <c r="B103" t="s">
        <v>368</v>
      </c>
      <c r="C103" s="63">
        <v>21.7</v>
      </c>
      <c r="D103">
        <v>1.891</v>
      </c>
      <c r="E103">
        <v>0.46400000000000002</v>
      </c>
      <c r="F103" s="63">
        <v>0.58499999999999996</v>
      </c>
      <c r="G103" t="s">
        <v>378</v>
      </c>
    </row>
    <row r="104" spans="1:7" x14ac:dyDescent="0.3">
      <c r="A104">
        <v>25</v>
      </c>
      <c r="B104" t="s">
        <v>369</v>
      </c>
      <c r="C104" s="63">
        <v>27.7</v>
      </c>
      <c r="D104">
        <v>2.6659999999999999</v>
      </c>
      <c r="E104">
        <v>0.33700000000000002</v>
      </c>
      <c r="F104" s="63">
        <v>0.49299999999999999</v>
      </c>
      <c r="G104" t="s">
        <v>378</v>
      </c>
    </row>
    <row r="105" spans="1:7" x14ac:dyDescent="0.3">
      <c r="A105">
        <v>26</v>
      </c>
      <c r="B105" t="s">
        <v>370</v>
      </c>
      <c r="C105" s="63">
        <v>27.7</v>
      </c>
      <c r="D105">
        <v>2.6659999999999999</v>
      </c>
      <c r="E105">
        <v>0.39200000000000002</v>
      </c>
      <c r="F105" s="63">
        <v>0.32</v>
      </c>
      <c r="G105" t="s">
        <v>378</v>
      </c>
    </row>
    <row r="106" spans="1:7" x14ac:dyDescent="0.3">
      <c r="A106">
        <v>27</v>
      </c>
      <c r="B106" t="s">
        <v>371</v>
      </c>
      <c r="C106" s="63">
        <v>22.7</v>
      </c>
      <c r="D106">
        <v>2.7010000000000001</v>
      </c>
      <c r="E106">
        <v>0.65300000000000002</v>
      </c>
      <c r="F106" s="63">
        <v>0.66500000000000004</v>
      </c>
      <c r="G106" t="s">
        <v>378</v>
      </c>
    </row>
    <row r="107" spans="1:7" x14ac:dyDescent="0.3">
      <c r="A107">
        <v>28</v>
      </c>
      <c r="B107" t="s">
        <v>379</v>
      </c>
      <c r="C107" s="63">
        <v>32.5</v>
      </c>
      <c r="D107">
        <v>1.956</v>
      </c>
      <c r="E107">
        <v>0.60499999999999998</v>
      </c>
      <c r="F107" s="63">
        <v>0.28799999999999998</v>
      </c>
      <c r="G107" t="s">
        <v>378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2"/>
  <sheetViews>
    <sheetView zoomScale="85" zoomScaleNormal="85" workbookViewId="0">
      <selection activeCell="B31" sqref="B31"/>
    </sheetView>
  </sheetViews>
  <sheetFormatPr defaultRowHeight="16.5" x14ac:dyDescent="0.3"/>
  <cols>
    <col min="1" max="1" width="25.75" bestFit="1" customWidth="1"/>
    <col min="2" max="2" width="21.125" customWidth="1"/>
    <col min="3" max="4" width="26.375" customWidth="1"/>
    <col min="5" max="5" width="19.25" bestFit="1" customWidth="1"/>
    <col min="6" max="6" width="9.5" bestFit="1" customWidth="1"/>
    <col min="7" max="7" width="11.75" bestFit="1" customWidth="1"/>
    <col min="8" max="8" width="13.5" bestFit="1" customWidth="1"/>
  </cols>
  <sheetData>
    <row r="1" spans="1:8" x14ac:dyDescent="0.3">
      <c r="A1" s="54" t="s">
        <v>235</v>
      </c>
    </row>
    <row r="2" spans="1:8" ht="32.25" customHeight="1" x14ac:dyDescent="0.3">
      <c r="A2" s="56" t="s">
        <v>180</v>
      </c>
      <c r="B2" s="56" t="s">
        <v>183</v>
      </c>
      <c r="C2" s="56" t="s">
        <v>184</v>
      </c>
      <c r="D2" s="56" t="s">
        <v>197</v>
      </c>
      <c r="E2" s="56" t="s">
        <v>199</v>
      </c>
      <c r="F2" s="56" t="s">
        <v>200</v>
      </c>
      <c r="G2" s="56" t="s">
        <v>201</v>
      </c>
      <c r="H2" s="56" t="s">
        <v>198</v>
      </c>
    </row>
    <row r="3" spans="1:8" x14ac:dyDescent="0.3">
      <c r="A3" s="59">
        <v>1</v>
      </c>
      <c r="B3" s="59" t="s">
        <v>185</v>
      </c>
      <c r="C3" s="59" t="s">
        <v>227</v>
      </c>
      <c r="D3" s="59" t="s">
        <v>196</v>
      </c>
      <c r="E3" s="59">
        <v>2.7E-2</v>
      </c>
      <c r="F3" s="59">
        <v>35</v>
      </c>
      <c r="G3" s="59"/>
      <c r="H3" s="59" t="s">
        <v>228</v>
      </c>
    </row>
    <row r="4" spans="1:8" x14ac:dyDescent="0.3">
      <c r="A4" s="55"/>
      <c r="B4" s="58"/>
      <c r="C4" s="55" t="s">
        <v>193</v>
      </c>
      <c r="D4" s="55"/>
      <c r="E4" s="58">
        <v>2.8000000000000001E-2</v>
      </c>
      <c r="F4" s="58">
        <v>30</v>
      </c>
      <c r="G4" s="58"/>
      <c r="H4" s="58" t="s">
        <v>228</v>
      </c>
    </row>
    <row r="5" spans="1:8" x14ac:dyDescent="0.3">
      <c r="A5" s="55"/>
      <c r="B5" s="58"/>
      <c r="C5" s="55" t="s">
        <v>194</v>
      </c>
      <c r="D5" s="55"/>
      <c r="E5" s="58">
        <v>2.9000000000000001E-2</v>
      </c>
      <c r="F5" s="58">
        <v>25</v>
      </c>
      <c r="G5" s="58"/>
      <c r="H5" s="58" t="s">
        <v>228</v>
      </c>
    </row>
    <row r="6" spans="1:8" x14ac:dyDescent="0.3">
      <c r="A6" s="55"/>
      <c r="B6" s="58"/>
      <c r="C6" s="55" t="s">
        <v>195</v>
      </c>
      <c r="D6" s="55"/>
      <c r="E6" s="58">
        <v>3.1E-2</v>
      </c>
      <c r="F6" s="58">
        <v>20</v>
      </c>
      <c r="G6" s="58"/>
      <c r="H6" s="58" t="s">
        <v>228</v>
      </c>
    </row>
    <row r="7" spans="1:8" x14ac:dyDescent="0.3">
      <c r="A7" s="59">
        <v>2</v>
      </c>
      <c r="B7" s="59" t="s">
        <v>186</v>
      </c>
      <c r="C7" s="59" t="s">
        <v>202</v>
      </c>
      <c r="D7" s="59" t="s">
        <v>206</v>
      </c>
      <c r="E7" s="60">
        <v>3.5999999999999997E-2</v>
      </c>
      <c r="F7" s="60">
        <v>30</v>
      </c>
      <c r="G7" s="60">
        <v>1500</v>
      </c>
      <c r="H7" s="60" t="s">
        <v>228</v>
      </c>
    </row>
    <row r="8" spans="1:8" x14ac:dyDescent="0.3">
      <c r="A8" s="55"/>
      <c r="B8" s="58"/>
      <c r="C8" s="55" t="s">
        <v>203</v>
      </c>
      <c r="D8" s="55"/>
      <c r="E8" s="58">
        <v>3.6999999999999998E-2</v>
      </c>
      <c r="F8" s="58">
        <v>25</v>
      </c>
      <c r="G8" s="58">
        <v>1500</v>
      </c>
      <c r="H8" s="58" t="s">
        <v>228</v>
      </c>
    </row>
    <row r="9" spans="1:8" x14ac:dyDescent="0.3">
      <c r="A9" s="58"/>
      <c r="B9" s="58"/>
      <c r="C9" s="55" t="s">
        <v>204</v>
      </c>
      <c r="D9" s="58"/>
      <c r="E9" s="58">
        <v>0.04</v>
      </c>
      <c r="F9" s="58">
        <v>20</v>
      </c>
      <c r="G9" s="58">
        <v>1500</v>
      </c>
      <c r="H9" s="58" t="s">
        <v>228</v>
      </c>
    </row>
    <row r="10" spans="1:8" x14ac:dyDescent="0.3">
      <c r="A10" s="58"/>
      <c r="B10" s="58"/>
      <c r="C10" s="55" t="s">
        <v>205</v>
      </c>
      <c r="D10" s="58" t="s">
        <v>207</v>
      </c>
      <c r="E10" s="58">
        <v>4.2999999999999997E-2</v>
      </c>
      <c r="F10" s="58">
        <v>15</v>
      </c>
      <c r="G10" s="58">
        <v>1500</v>
      </c>
      <c r="H10" s="58" t="s">
        <v>228</v>
      </c>
    </row>
    <row r="11" spans="1:8" x14ac:dyDescent="0.3">
      <c r="A11" s="60">
        <v>3</v>
      </c>
      <c r="B11" s="59" t="s">
        <v>187</v>
      </c>
      <c r="C11" s="59" t="s">
        <v>208</v>
      </c>
      <c r="D11" s="60" t="s">
        <v>224</v>
      </c>
      <c r="E11" s="60">
        <v>3.1E-2</v>
      </c>
      <c r="F11" s="60">
        <v>30</v>
      </c>
      <c r="G11" s="60">
        <v>1500</v>
      </c>
      <c r="H11" s="60" t="s">
        <v>228</v>
      </c>
    </row>
    <row r="12" spans="1:8" x14ac:dyDescent="0.3">
      <c r="A12" s="58"/>
      <c r="B12" s="58"/>
      <c r="C12" s="55" t="s">
        <v>209</v>
      </c>
      <c r="D12" s="58"/>
      <c r="E12" s="58">
        <v>3.2000000000000001E-2</v>
      </c>
      <c r="F12" s="58">
        <v>25</v>
      </c>
      <c r="G12" s="58">
        <v>1500</v>
      </c>
      <c r="H12" s="58" t="s">
        <v>228</v>
      </c>
    </row>
    <row r="13" spans="1:8" x14ac:dyDescent="0.3">
      <c r="A13" s="58"/>
      <c r="B13" s="58"/>
      <c r="C13" s="58" t="s">
        <v>211</v>
      </c>
      <c r="D13" s="58"/>
      <c r="E13" s="58">
        <v>3.3000000000000002E-2</v>
      </c>
      <c r="F13" s="58">
        <v>20</v>
      </c>
      <c r="G13" s="58">
        <v>1500</v>
      </c>
      <c r="H13" s="58" t="s">
        <v>228</v>
      </c>
    </row>
    <row r="14" spans="1:8" x14ac:dyDescent="0.3">
      <c r="A14" s="58"/>
      <c r="B14" s="58"/>
      <c r="C14" s="55" t="s">
        <v>210</v>
      </c>
      <c r="D14" s="58"/>
      <c r="E14" s="58">
        <v>3.4000000000000002E-2</v>
      </c>
      <c r="F14" s="58">
        <v>15</v>
      </c>
      <c r="G14" s="58">
        <v>1500</v>
      </c>
      <c r="H14" s="58" t="s">
        <v>228</v>
      </c>
    </row>
    <row r="15" spans="1:8" x14ac:dyDescent="0.3">
      <c r="A15" s="60">
        <v>4</v>
      </c>
      <c r="B15" s="59" t="s">
        <v>188</v>
      </c>
      <c r="C15" s="59" t="s">
        <v>202</v>
      </c>
      <c r="D15" s="60" t="s">
        <v>225</v>
      </c>
      <c r="E15" s="60">
        <v>2.4E-2</v>
      </c>
      <c r="F15" s="60">
        <v>45</v>
      </c>
      <c r="G15" s="60"/>
      <c r="H15" s="60" t="s">
        <v>233</v>
      </c>
    </row>
    <row r="16" spans="1:8" x14ac:dyDescent="0.3">
      <c r="A16" s="58"/>
      <c r="B16" s="58"/>
      <c r="C16" s="55" t="s">
        <v>212</v>
      </c>
      <c r="D16" s="58"/>
      <c r="E16" s="58">
        <v>2.4E-2</v>
      </c>
      <c r="F16" s="58">
        <v>35</v>
      </c>
      <c r="G16" s="58"/>
      <c r="H16" s="58" t="s">
        <v>233</v>
      </c>
    </row>
    <row r="17" spans="1:8" x14ac:dyDescent="0.3">
      <c r="A17" s="58"/>
      <c r="B17" s="58"/>
      <c r="C17" s="55" t="s">
        <v>204</v>
      </c>
      <c r="D17" s="58"/>
      <c r="E17" s="58">
        <v>2.5000000000000001E-2</v>
      </c>
      <c r="F17" s="58">
        <v>25</v>
      </c>
      <c r="G17" s="58"/>
      <c r="H17" s="58" t="s">
        <v>233</v>
      </c>
    </row>
    <row r="18" spans="1:8" x14ac:dyDescent="0.3">
      <c r="A18" s="60">
        <v>5</v>
      </c>
      <c r="B18" s="59" t="s">
        <v>189</v>
      </c>
      <c r="C18" s="59" t="s">
        <v>202</v>
      </c>
      <c r="D18" s="60" t="s">
        <v>225</v>
      </c>
      <c r="E18" s="60">
        <v>2.3E-2</v>
      </c>
      <c r="F18" s="60">
        <v>45</v>
      </c>
      <c r="G18" s="60"/>
      <c r="H18" s="60" t="s">
        <v>233</v>
      </c>
    </row>
    <row r="19" spans="1:8" x14ac:dyDescent="0.3">
      <c r="A19" s="58"/>
      <c r="B19" s="58"/>
      <c r="C19" s="55" t="s">
        <v>212</v>
      </c>
      <c r="D19" s="58"/>
      <c r="E19" s="58">
        <v>2.3E-2</v>
      </c>
      <c r="F19" s="58">
        <v>35</v>
      </c>
      <c r="G19" s="58"/>
      <c r="H19" s="58" t="s">
        <v>233</v>
      </c>
    </row>
    <row r="20" spans="1:8" x14ac:dyDescent="0.3">
      <c r="A20" s="58"/>
      <c r="B20" s="58"/>
      <c r="C20" s="55" t="s">
        <v>213</v>
      </c>
      <c r="D20" s="58"/>
      <c r="E20" s="58">
        <v>2.4E-2</v>
      </c>
      <c r="F20" s="58">
        <v>25</v>
      </c>
      <c r="G20" s="58"/>
      <c r="H20" s="58" t="s">
        <v>233</v>
      </c>
    </row>
    <row r="21" spans="1:8" x14ac:dyDescent="0.3">
      <c r="A21" s="60">
        <v>6</v>
      </c>
      <c r="B21" s="59" t="s">
        <v>190</v>
      </c>
      <c r="C21" s="59" t="s">
        <v>214</v>
      </c>
      <c r="D21" s="60" t="s">
        <v>206</v>
      </c>
      <c r="E21" s="60">
        <v>3.7999999999999999E-2</v>
      </c>
      <c r="F21" s="60" t="s">
        <v>229</v>
      </c>
      <c r="G21" s="60">
        <v>850</v>
      </c>
      <c r="H21" s="60" t="s">
        <v>234</v>
      </c>
    </row>
    <row r="22" spans="1:8" x14ac:dyDescent="0.3">
      <c r="A22" s="58"/>
      <c r="B22" s="58"/>
      <c r="C22" s="55" t="s">
        <v>202</v>
      </c>
      <c r="D22" s="58"/>
      <c r="E22" s="58">
        <v>3.6999999999999998E-2</v>
      </c>
      <c r="F22" s="58" t="s">
        <v>230</v>
      </c>
      <c r="G22" s="58">
        <v>850</v>
      </c>
      <c r="H22" s="58" t="s">
        <v>234</v>
      </c>
    </row>
    <row r="23" spans="1:8" x14ac:dyDescent="0.3">
      <c r="A23" s="58"/>
      <c r="B23" s="58"/>
      <c r="C23" s="55" t="s">
        <v>215</v>
      </c>
      <c r="D23" s="58"/>
      <c r="E23" s="58">
        <v>3.5999999999999997E-2</v>
      </c>
      <c r="F23" s="58" t="s">
        <v>231</v>
      </c>
      <c r="G23" s="58">
        <v>850</v>
      </c>
      <c r="H23" s="58" t="s">
        <v>234</v>
      </c>
    </row>
    <row r="24" spans="1:8" x14ac:dyDescent="0.3">
      <c r="A24" s="58"/>
      <c r="B24" s="58"/>
      <c r="C24" s="55" t="s">
        <v>204</v>
      </c>
      <c r="D24" s="58"/>
      <c r="E24" s="58">
        <v>3.7999999999999999E-2</v>
      </c>
      <c r="F24" s="58" t="s">
        <v>232</v>
      </c>
      <c r="G24" s="58">
        <v>850</v>
      </c>
      <c r="H24" s="58" t="s">
        <v>234</v>
      </c>
    </row>
    <row r="25" spans="1:8" x14ac:dyDescent="0.3">
      <c r="A25" s="60">
        <v>7</v>
      </c>
      <c r="B25" s="59" t="s">
        <v>191</v>
      </c>
      <c r="C25" s="59" t="s">
        <v>216</v>
      </c>
      <c r="D25" s="60" t="s">
        <v>225</v>
      </c>
      <c r="E25" s="60">
        <v>3.4000000000000002E-2</v>
      </c>
      <c r="F25" s="60">
        <v>120</v>
      </c>
      <c r="G25" s="60">
        <v>830</v>
      </c>
      <c r="H25" s="60" t="s">
        <v>234</v>
      </c>
    </row>
    <row r="26" spans="1:8" x14ac:dyDescent="0.3">
      <c r="A26" s="58"/>
      <c r="B26" s="58"/>
      <c r="C26" s="55" t="s">
        <v>217</v>
      </c>
      <c r="D26" s="58"/>
      <c r="E26" s="58">
        <v>3.4000000000000002E-2</v>
      </c>
      <c r="F26" s="58">
        <v>96</v>
      </c>
      <c r="G26" s="58">
        <v>830</v>
      </c>
      <c r="H26" s="58" t="s">
        <v>234</v>
      </c>
    </row>
    <row r="27" spans="1:8" x14ac:dyDescent="0.3">
      <c r="A27" s="58"/>
      <c r="B27" s="58"/>
      <c r="C27" s="55" t="s">
        <v>218</v>
      </c>
      <c r="D27" s="58"/>
      <c r="E27" s="58">
        <v>3.4000000000000002E-2</v>
      </c>
      <c r="F27" s="58">
        <v>80</v>
      </c>
      <c r="G27" s="58">
        <v>830</v>
      </c>
      <c r="H27" s="58" t="s">
        <v>234</v>
      </c>
    </row>
    <row r="28" spans="1:8" x14ac:dyDescent="0.3">
      <c r="A28" s="58"/>
      <c r="B28" s="58"/>
      <c r="C28" s="55" t="s">
        <v>219</v>
      </c>
      <c r="D28" s="58"/>
      <c r="E28" s="58">
        <v>3.4000000000000002E-2</v>
      </c>
      <c r="F28" s="58">
        <v>64</v>
      </c>
      <c r="G28" s="58">
        <v>830</v>
      </c>
      <c r="H28" s="58" t="s">
        <v>234</v>
      </c>
    </row>
    <row r="29" spans="1:8" x14ac:dyDescent="0.3">
      <c r="A29" s="58"/>
      <c r="B29" s="58"/>
      <c r="C29" s="55" t="s">
        <v>220</v>
      </c>
      <c r="D29" s="58"/>
      <c r="E29" s="58">
        <v>3.4000000000000002E-2</v>
      </c>
      <c r="F29" s="58">
        <v>48</v>
      </c>
      <c r="G29" s="58">
        <v>830</v>
      </c>
      <c r="H29" s="58" t="s">
        <v>234</v>
      </c>
    </row>
    <row r="30" spans="1:8" x14ac:dyDescent="0.3">
      <c r="A30" s="58"/>
      <c r="B30" s="58"/>
      <c r="C30" s="55" t="s">
        <v>221</v>
      </c>
      <c r="D30" s="58" t="s">
        <v>226</v>
      </c>
      <c r="E30" s="58">
        <v>3.5000000000000003E-2</v>
      </c>
      <c r="F30" s="58">
        <v>40</v>
      </c>
      <c r="G30" s="58">
        <v>830</v>
      </c>
      <c r="H30" s="58" t="s">
        <v>234</v>
      </c>
    </row>
    <row r="31" spans="1:8" x14ac:dyDescent="0.3">
      <c r="A31" s="58"/>
      <c r="B31" s="58"/>
      <c r="C31" s="55" t="s">
        <v>222</v>
      </c>
      <c r="D31" s="58"/>
      <c r="E31" s="58">
        <v>3.6999999999999998E-2</v>
      </c>
      <c r="F31" s="58">
        <v>32</v>
      </c>
      <c r="G31" s="58">
        <v>830</v>
      </c>
      <c r="H31" s="58" t="s">
        <v>234</v>
      </c>
    </row>
    <row r="32" spans="1:8" x14ac:dyDescent="0.3">
      <c r="A32" s="58"/>
      <c r="B32" s="58"/>
      <c r="C32" s="55" t="s">
        <v>223</v>
      </c>
      <c r="D32" s="58"/>
      <c r="E32" s="58">
        <v>3.7999999999999999E-2</v>
      </c>
      <c r="F32" s="58">
        <v>24</v>
      </c>
      <c r="G32" s="58">
        <v>830</v>
      </c>
      <c r="H32" s="58" t="s">
        <v>234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9</vt:i4>
      </vt:variant>
    </vt:vector>
  </HeadingPairs>
  <TitlesOfParts>
    <vt:vector size="19" baseType="lpstr">
      <vt:lpstr>Calibration_Model</vt:lpstr>
      <vt:lpstr>Main Simulator</vt:lpstr>
      <vt:lpstr>Result</vt:lpstr>
      <vt:lpstr>INFO_DNA</vt:lpstr>
      <vt:lpstr>Calibration_Engine</vt:lpstr>
      <vt:lpstr>Variables</vt:lpstr>
      <vt:lpstr>Replacement_Module</vt:lpstr>
      <vt:lpstr>Insulation_Spec.</vt:lpstr>
      <vt:lpstr>Windows_Spec.</vt:lpstr>
      <vt:lpstr>Lighthing_Spec.</vt:lpstr>
      <vt:lpstr>ConditionSet</vt:lpstr>
      <vt:lpstr>ElecConsumption</vt:lpstr>
      <vt:lpstr>GasConsumption</vt:lpstr>
      <vt:lpstr>InputSet</vt:lpstr>
      <vt:lpstr>InsulationTn</vt:lpstr>
      <vt:lpstr>InsulationType</vt:lpstr>
      <vt:lpstr>Repla_Calibration</vt:lpstr>
      <vt:lpstr>Repla_Insulation</vt:lpstr>
      <vt:lpstr>Repla_Window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2016-11-29T15:51:59Z</dcterms:modified>
</cp:coreProperties>
</file>